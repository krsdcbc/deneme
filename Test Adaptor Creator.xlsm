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rsdc\OneDrive\Masaüstü\"/>
    </mc:Choice>
  </mc:AlternateContent>
  <xr:revisionPtr revIDLastSave="0" documentId="13_ncr:1_{BBF5BC13-5658-4798-8928-3420A9B0D1DE}" xr6:coauthVersionLast="47" xr6:coauthVersionMax="47" xr10:uidLastSave="{00000000-0000-0000-0000-000000000000}"/>
  <bookViews>
    <workbookView xWindow="-120" yWindow="-120" windowWidth="29040" windowHeight="15840" tabRatio="831" activeTab="2" xr2:uid="{00000000-000D-0000-FFFF-FFFF00000000}"/>
  </bookViews>
  <sheets>
    <sheet name="ADAPTOR" sheetId="1" r:id="rId1"/>
    <sheet name="Error Log" sheetId="36" r:id="rId2"/>
    <sheet name="Example" sheetId="39" r:id="rId3"/>
    <sheet name="P2P" sheetId="28" r:id="rId4"/>
    <sheet name="BOM" sheetId="25" r:id="rId5"/>
    <sheet name="ID" sheetId="27" r:id="rId6"/>
    <sheet name="Adaptor Label" sheetId="16" r:id="rId7"/>
    <sheet name="DRAWING" sheetId="30" r:id="rId8"/>
    <sheet name="First Sheet" sheetId="31" r:id="rId9"/>
    <sheet name="Step Distribution" sheetId="32" r:id="rId10"/>
    <sheet name="Ref Des" sheetId="33" r:id="rId11"/>
    <sheet name="Connector List" sheetId="34" r:id="rId12"/>
  </sheets>
  <functionGroups builtInGroupCount="19"/>
  <definedNames>
    <definedName name="_xlnm._FilterDatabase" localSheetId="0" hidden="1">ADAPTOR!$A$2:$L$3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39" l="1"/>
  <c r="H10" i="39"/>
  <c r="I9" i="39"/>
  <c r="H9" i="39"/>
  <c r="H8" i="39"/>
  <c r="H7" i="39"/>
  <c r="I8" i="39" s="1"/>
  <c r="I6" i="39"/>
  <c r="H6" i="39"/>
  <c r="H5" i="39"/>
  <c r="H4" i="39"/>
  <c r="H3" i="39"/>
  <c r="I5" i="39" s="1"/>
  <c r="I2" i="39"/>
  <c r="H2" i="39"/>
  <c r="I7" i="39" l="1"/>
  <c r="I3" i="39"/>
  <c r="I4" i="39"/>
</calcChain>
</file>

<file path=xl/sharedStrings.xml><?xml version="1.0" encoding="utf-8"?>
<sst xmlns="http://schemas.openxmlformats.org/spreadsheetml/2006/main" count="614" uniqueCount="179">
  <si>
    <t>Pin Arrangment</t>
  </si>
  <si>
    <t>Numerical</t>
  </si>
  <si>
    <t>Pin Group</t>
  </si>
  <si>
    <t>Adaptor Group</t>
  </si>
  <si>
    <t>BCK Pin</t>
  </si>
  <si>
    <t>Total Pin</t>
  </si>
  <si>
    <t>Adaptor Name</t>
  </si>
  <si>
    <t>HRN_TST_ADP_650/01</t>
  </si>
  <si>
    <t>Proje</t>
  </si>
  <si>
    <t>ATK</t>
  </si>
  <si>
    <t>Backshell PN</t>
  </si>
  <si>
    <t>Contact</t>
  </si>
  <si>
    <t>PART LIST</t>
  </si>
  <si>
    <t>ITEM</t>
  </si>
  <si>
    <t>PART NO</t>
  </si>
  <si>
    <t>PART NAME</t>
  </si>
  <si>
    <t>QTY</t>
  </si>
  <si>
    <t>110900-0008</t>
  </si>
  <si>
    <t>DL3-60P CONNECTOR</t>
  </si>
  <si>
    <t>204-0016-000</t>
  </si>
  <si>
    <t>ACTUATING HANDLE KIT</t>
  </si>
  <si>
    <t>249-2060-000</t>
  </si>
  <si>
    <t>JUNCTION SHELL KIT</t>
  </si>
  <si>
    <t>030-2410-003</t>
  </si>
  <si>
    <t>CONTACT</t>
  </si>
  <si>
    <t>CM-SCE-TP-1/4-4H-4</t>
  </si>
  <si>
    <t>ID LABEL</t>
  </si>
  <si>
    <t>M22759 Series</t>
  </si>
  <si>
    <t>M23053/5 Series</t>
  </si>
  <si>
    <t>CABLE</t>
  </si>
  <si>
    <t>INSULATION SLEEVE</t>
  </si>
  <si>
    <t>AR</t>
  </si>
  <si>
    <t>CONNECTOR</t>
  </si>
  <si>
    <t>BACKSHELL</t>
  </si>
  <si>
    <t>REF-DES</t>
  </si>
  <si>
    <t>A1</t>
  </si>
  <si>
    <t>A2</t>
  </si>
  <si>
    <t>A3</t>
  </si>
  <si>
    <t>A4</t>
  </si>
  <si>
    <t>A5</t>
  </si>
  <si>
    <t>A6</t>
  </si>
  <si>
    <t>B1</t>
  </si>
  <si>
    <t>B2</t>
  </si>
  <si>
    <t>B3</t>
  </si>
  <si>
    <t>B4</t>
  </si>
  <si>
    <t>B5</t>
  </si>
  <si>
    <t>B6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</si>
  <si>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</si>
  <si>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</si>
  <si>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</si>
  <si>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</si>
  <si>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</si>
  <si>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</si>
  <si>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</si>
  <si>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</si>
  <si>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</si>
  <si>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</si>
  <si>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</si>
  <si>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</si>
  <si>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E1</t>
  </si>
  <si>
    <t>F1</t>
  </si>
  <si>
    <t>G1</t>
  </si>
  <si>
    <t>H1</t>
  </si>
  <si>
    <t>J1</t>
  </si>
  <si>
    <t>K1</t>
  </si>
  <si>
    <t>E2</t>
  </si>
  <si>
    <t>E3</t>
  </si>
  <si>
    <t>E4</t>
  </si>
  <si>
    <t>E5</t>
  </si>
  <si>
    <t>E6</t>
  </si>
  <si>
    <t>F2</t>
  </si>
  <si>
    <t>F3</t>
  </si>
  <si>
    <t>F4</t>
  </si>
  <si>
    <t>F5</t>
  </si>
  <si>
    <t>F6</t>
  </si>
  <si>
    <t>G2</t>
  </si>
  <si>
    <t>G3</t>
  </si>
  <si>
    <t>G4</t>
  </si>
  <si>
    <t>G5</t>
  </si>
  <si>
    <t>G6</t>
  </si>
  <si>
    <t>H2</t>
  </si>
  <si>
    <t>H3</t>
  </si>
  <si>
    <t>H4</t>
  </si>
  <si>
    <t>H5</t>
  </si>
  <si>
    <t>H6</t>
  </si>
  <si>
    <t>J2</t>
  </si>
  <si>
    <t>J3</t>
  </si>
  <si>
    <t>J4</t>
  </si>
  <si>
    <t>J5</t>
  </si>
  <si>
    <t>J6</t>
  </si>
  <si>
    <t>K2</t>
  </si>
  <si>
    <t>K3</t>
  </si>
  <si>
    <t>K4</t>
  </si>
  <si>
    <t>K5</t>
  </si>
  <si>
    <t>K6</t>
  </si>
  <si>
    <t>1st</t>
  </si>
  <si>
    <t>2nd</t>
  </si>
  <si>
    <t>3rd</t>
  </si>
  <si>
    <t>4th</t>
  </si>
  <si>
    <t>5th</t>
  </si>
  <si>
    <t>6th</t>
  </si>
  <si>
    <t>ITEM5-BCK</t>
  </si>
  <si>
    <t>ATK
TEST ADAPTOR CABLE</t>
  </si>
  <si>
    <t>Connector Name</t>
  </si>
  <si>
    <t>Contact Qty</t>
  </si>
  <si>
    <t>LABEL PN</t>
  </si>
  <si>
    <t>CONNECTOR PN</t>
  </si>
  <si>
    <t>HRN_TST_ADP_651/01</t>
  </si>
  <si>
    <t>LFROM</t>
  </si>
  <si>
    <t>SUBPARTNO</t>
  </si>
  <si>
    <t>PARTNO</t>
  </si>
  <si>
    <t>PLANT</t>
  </si>
  <si>
    <t>TV</t>
  </si>
  <si>
    <t>FROM</t>
  </si>
  <si>
    <t>TO</t>
  </si>
  <si>
    <t>QUANTITY</t>
  </si>
  <si>
    <t>UOM</t>
  </si>
  <si>
    <t>M/B</t>
  </si>
  <si>
    <t>REFERENCE</t>
  </si>
  <si>
    <t>STEPNO</t>
  </si>
  <si>
    <t>PC</t>
  </si>
  <si>
    <t>B</t>
  </si>
  <si>
    <t>MT</t>
  </si>
  <si>
    <t>SLEEVE</t>
  </si>
  <si>
    <t>KABLO</t>
  </si>
  <si>
    <t>REFDES</t>
  </si>
  <si>
    <t>Con_1</t>
  </si>
  <si>
    <t>Con_3</t>
  </si>
  <si>
    <t>Con_4</t>
  </si>
  <si>
    <t>Con_5</t>
  </si>
  <si>
    <t>Con_6</t>
  </si>
  <si>
    <t>Con_7</t>
  </si>
  <si>
    <t>Con_8</t>
  </si>
  <si>
    <t>Con_9</t>
  </si>
  <si>
    <t>BCK_1</t>
  </si>
  <si>
    <t>BCK_2</t>
  </si>
  <si>
    <t>BCK_4</t>
  </si>
  <si>
    <t>BCK_6</t>
  </si>
  <si>
    <t>BCK_7</t>
  </si>
  <si>
    <t>BCK_8</t>
  </si>
  <si>
    <t>BCK_9</t>
  </si>
  <si>
    <t>C_1</t>
  </si>
  <si>
    <t>C_2</t>
  </si>
  <si>
    <t>C_3</t>
  </si>
  <si>
    <t>C_5</t>
  </si>
  <si>
    <t>C_6</t>
  </si>
  <si>
    <t>C_7</t>
  </si>
  <si>
    <t>C_8</t>
  </si>
  <si>
    <t>C_9</t>
  </si>
  <si>
    <t>HRN_TST_ADP_652/01</t>
  </si>
  <si>
    <t>N/A</t>
  </si>
  <si>
    <t>ITEM5-1</t>
  </si>
  <si>
    <t>ITEM5-2</t>
  </si>
  <si>
    <t>ITEM5-3</t>
  </si>
  <si>
    <t>ITEM5-4</t>
  </si>
  <si>
    <t>ITEM5-5</t>
  </si>
  <si>
    <t>ITEM5-6</t>
  </si>
  <si>
    <t>ITEM5-7</t>
  </si>
  <si>
    <t>ITEM5-8</t>
  </si>
  <si>
    <t>ITEM5-9</t>
  </si>
  <si>
    <t>NC</t>
  </si>
  <si>
    <t>Mate Connector PN</t>
  </si>
  <si>
    <t>Adaptor Pin</t>
  </si>
  <si>
    <t>Harness Side Connector PN</t>
  </si>
  <si>
    <t>Contact QTY</t>
  </si>
  <si>
    <t>DON'T CHANGE THE NAMES OF THE SHEETS !</t>
  </si>
  <si>
    <t>A-d</t>
  </si>
  <si>
    <t>A-b</t>
  </si>
  <si>
    <t>A-x</t>
  </si>
  <si>
    <t>,ix,is,im,ic,ip,</t>
  </si>
  <si>
    <t>ITEM5-10</t>
  </si>
  <si>
    <t>ITEM5-11</t>
  </si>
  <si>
    <t>ITEM5-12</t>
  </si>
  <si>
    <t>ITEM5-13</t>
  </si>
  <si>
    <t>ITEM5-14</t>
  </si>
  <si>
    <t>ITEM5-15</t>
  </si>
  <si>
    <t>HRN_TST_ADP_650/01-01</t>
  </si>
  <si>
    <t>ATL</t>
  </si>
  <si>
    <r>
      <t xml:space="preserve">DON'T CHANGE THE NAMES OF THE SHEETS!
</t>
    </r>
    <r>
      <rPr>
        <sz val="11"/>
        <color theme="1"/>
        <rFont val="Calibri"/>
        <family val="2"/>
        <scheme val="minor"/>
      </rPr>
      <t>Adaptor gruplarina 0'dan basla!
Contact veya BCK yok ise N/A yaz!
Pin Group 4 : Special Pin Names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</si>
</sst>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450666829432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/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8" xfId="0" applyBorder="1"/>
    <xf numFmtId="0" fontId="1" fillId="7" borderId="2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 wrapText="1"/>
    </xf>
    <xf numFmtId="0" fontId="6" fillId="10" borderId="9" xfId="0" applyFont="1" applyFill="1" applyBorder="1" applyAlignment="1">
      <alignment horizontal="center" vertical="center"/>
    </xf>
    <xf numFmtId="0" fontId="1" fillId="5" borderId="11" xfId="0" applyFont="1" applyFill="1" applyBorder="1" applyAlignment="1">
      <alignment horizontal="center" vertical="center" wrapText="1"/>
    </xf>
    <xf numFmtId="0" fontId="1" fillId="5" borderId="9" xfId="0" applyFont="1" applyFill="1" applyBorder="1" applyAlignment="1">
      <alignment horizontal="center" vertical="center" wrapText="1"/>
    </xf>
    <xf numFmtId="0" fontId="1" fillId="5" borderId="10" xfId="0" applyFont="1" applyFill="1" applyBorder="1" applyAlignment="1">
      <alignment horizontal="center" vertical="center" wrapText="1"/>
    </xf>
    <xf numFmtId="0" fontId="1" fillId="8" borderId="2" xfId="0" applyFont="1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1" fillId="9" borderId="9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 wrapText="1"/>
    </xf>
    <xf numFmtId="0" fontId="1" fillId="6" borderId="3" xfId="0" applyFont="1" applyFill="1" applyBorder="1" applyAlignment="1">
      <alignment horizontal="center" vertical="center" wrapText="1"/>
    </xf>
    <xf numFmtId="0" fontId="1" fillId="6" borderId="4" xfId="0" applyFont="1" applyFill="1" applyBorder="1" applyAlignment="1">
      <alignment horizontal="center" vertical="center" wrapText="1"/>
    </xf>
    <xf numFmtId="0" fontId="0" fillId="4" borderId="9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232410</xdr:colOff>
          <xdr:row>0</xdr:row>
          <xdr:rowOff>300990</xdr:rowOff>
        </xdr:from>
        <xdr:to>
          <xdr:col>1</xdr:col>
          <xdr:colOff>800100</xdr:colOff>
          <xdr:row>0</xdr:row>
          <xdr:rowOff>910590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1139190</xdr:colOff>
          <xdr:row>0</xdr:row>
          <xdr:rowOff>681990</xdr:rowOff>
        </xdr:from>
        <xdr:to>
          <xdr:col>2</xdr:col>
          <xdr:colOff>720090</xdr:colOff>
          <xdr:row>0</xdr:row>
          <xdr:rowOff>1143000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1143000</xdr:colOff>
          <xdr:row>0</xdr:row>
          <xdr:rowOff>110490</xdr:rowOff>
        </xdr:from>
        <xdr:to>
          <xdr:col>2</xdr:col>
          <xdr:colOff>723900</xdr:colOff>
          <xdr:row>0</xdr:row>
          <xdr:rowOff>575310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Errors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257175</xdr:colOff>
          <xdr:row>0</xdr:row>
          <xdr:rowOff>276225</xdr:rowOff>
        </xdr:from>
        <xdr:to>
          <xdr:col>0</xdr:col>
          <xdr:colOff>1428750</xdr:colOff>
          <xdr:row>0</xdr:row>
          <xdr:rowOff>904875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B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133350</xdr:colOff>
          <xdr:row>0</xdr:row>
          <xdr:rowOff>285750</xdr:rowOff>
        </xdr:from>
        <xdr:to>
          <xdr:col>1</xdr:col>
          <xdr:colOff>1304925</xdr:colOff>
          <xdr:row>0</xdr:row>
          <xdr:rowOff>914400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B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30"/>
  <sheetViews>
    <sheetView zoomScale="115" zoomScaleNormal="115" workbookViewId="0">
      <selection activeCell="D10" sqref="D10"/>
    </sheetView>
  </sheetViews>
  <sheetFormatPr defaultRowHeight="15" x14ac:dyDescent="0.25"/>
  <cols>
    <col min="1" max="1" width="9.28515625" customWidth="1"/>
    <col min="2" max="2" width="20.7109375" customWidth="1"/>
    <col min="3" max="3" width="14.7109375" customWidth="1"/>
    <col min="4" max="4" width="22.7109375" customWidth="1"/>
    <col min="5" max="5" width="21.28515625" customWidth="1"/>
    <col min="6" max="6" width="12.7109375" customWidth="1"/>
    <col min="7" max="8" width="10.7109375" customWidth="1"/>
    <col min="9" max="9" width="11.7109375" customWidth="1"/>
    <col min="10" max="10" width="15.28515625" customWidth="1"/>
    <col min="11" max="11" width="10.7109375" customWidth="1"/>
    <col min="12" max="12" width="16.7109375" customWidth="1"/>
  </cols>
  <sheetData>
    <row r="1" spans="1:12" s="1" customFormat="1" ht="98.25" customHeight="1" thickBot="1" x14ac:dyDescent="0.3">
      <c r="A1" s="22"/>
      <c r="B1" s="23"/>
      <c r="C1" s="24"/>
      <c r="D1" s="19" t="s">
        <v>178</v>
      </c>
      <c r="E1" s="20"/>
      <c r="F1" s="21"/>
      <c r="G1" s="15"/>
      <c r="H1" s="17" t="s">
        <v>111</v>
      </c>
      <c r="I1" s="34"/>
      <c r="J1" s="18" t="s">
        <v>112</v>
      </c>
      <c r="K1" s="34"/>
      <c r="L1" s="16"/>
    </row>
    <row r="2" spans="1:12" ht="15.75" thickBot="1" x14ac:dyDescent="0.3">
      <c r="A2" s="5" t="s">
        <v>8</v>
      </c>
      <c r="B2" s="6" t="s">
        <v>6</v>
      </c>
      <c r="C2" s="6" t="s">
        <v>3</v>
      </c>
      <c r="D2" s="6" t="s">
        <v>103</v>
      </c>
      <c r="E2" s="6" t="s">
        <v>10</v>
      </c>
      <c r="F2" s="6" t="s">
        <v>104</v>
      </c>
      <c r="G2" s="6" t="s">
        <v>4</v>
      </c>
      <c r="H2" s="6" t="s">
        <v>5</v>
      </c>
      <c r="I2" s="6" t="s">
        <v>162</v>
      </c>
      <c r="J2" s="6" t="s">
        <v>0</v>
      </c>
      <c r="K2" s="6" t="s">
        <v>2</v>
      </c>
      <c r="L2" s="7" t="s">
        <v>11</v>
      </c>
    </row>
    <row r="3" spans="1:12" x14ac:dyDescent="0.25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</row>
    <row r="4" spans="1:12" x14ac:dyDescent="0.25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</row>
    <row r="5" spans="1:12" x14ac:dyDescent="0.25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</row>
    <row r="6" spans="1:12" x14ac:dyDescent="0.25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</row>
    <row r="7" spans="1:12" x14ac:dyDescent="0.2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</row>
    <row r="8" spans="1:12" x14ac:dyDescent="0.2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</row>
    <row r="9" spans="1:12" x14ac:dyDescent="0.2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</row>
    <row r="10" spans="1:12" x14ac:dyDescent="0.2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</row>
    <row r="11" spans="1:12" x14ac:dyDescent="0.25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</row>
    <row r="12" spans="1:12" x14ac:dyDescent="0.25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</row>
    <row r="13" spans="1:12" x14ac:dyDescent="0.25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</row>
    <row r="14" spans="1:12" x14ac:dyDescent="0.25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</row>
    <row r="15" spans="1:12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</row>
    <row r="16" spans="1:12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</row>
    <row r="17" spans="1:12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</row>
    <row r="18" spans="1:12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</row>
    <row r="19" spans="1:12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</row>
    <row r="20" spans="1:12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</row>
    <row r="21" spans="1:12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</row>
    <row r="22" spans="1:12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</row>
    <row r="23" spans="1:12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</row>
    <row r="24" spans="1:12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</row>
    <row r="25" spans="1:12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</row>
    <row r="26" spans="1:12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</row>
    <row r="27" spans="1:12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</row>
    <row r="28" spans="1:12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</row>
    <row r="29" spans="1:12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</row>
    <row r="30" spans="1:12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</row>
  </sheetData>
  <mergeCells count="2">
    <mergeCell ref="D1:F1"/>
    <mergeCell ref="A1:C1"/>
  </mergeCells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reate_test_adaptor">
                <anchor>
                  <from>
                    <xdr:col>0</xdr:col>
                    <xdr:colOff>238125</xdr:colOff>
                    <xdr:row>0</xdr:row>
                    <xdr:rowOff>295275</xdr:rowOff>
                  </from>
                  <to>
                    <xdr:col>1</xdr:col>
                    <xdr:colOff>800100</xdr:colOff>
                    <xdr:row>0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_list">
                <anchor>
                  <from>
                    <xdr:col>1</xdr:col>
                    <xdr:colOff>1133475</xdr:colOff>
                    <xdr:row>0</xdr:row>
                    <xdr:rowOff>676275</xdr:rowOff>
                  </from>
                  <to>
                    <xdr:col>2</xdr:col>
                    <xdr:colOff>714375</xdr:colOff>
                    <xdr:row>0</xdr:row>
                    <xdr:rowOff>1143000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check_errors">
                <anchor>
                  <from>
                    <xdr:col>1</xdr:col>
                    <xdr:colOff>1143000</xdr:colOff>
                    <xdr:row>0</xdr:row>
                    <xdr:rowOff>104775</xdr:rowOff>
                  </from>
                  <to>
                    <xdr:col>2</xdr:col>
                    <xdr:colOff>723900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4508E-7D34-46F3-A9D5-E0303070CCE4}">
  <sheetPr codeName="Sheet8"/>
  <dimension ref="A1:C1"/>
  <sheetViews>
    <sheetView workbookViewId="0">
      <selection activeCell="B28" sqref="B28"/>
    </sheetView>
  </sheetViews>
  <sheetFormatPr defaultRowHeight="15" x14ac:dyDescent="0.25"/>
  <cols>
    <col min="1" max="1" width="15" style="1" customWidth="1"/>
    <col min="2" max="2" width="66.85546875" style="1" customWidth="1"/>
    <col min="3" max="3" width="19.85546875" style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53B1C-7753-49F1-B3D6-9B2B3C1B59DC}">
  <sheetPr codeName="Sheet13"/>
  <dimension ref="A1:L10"/>
  <sheetViews>
    <sheetView tabSelected="1" workbookViewId="0">
      <selection activeCell="B22" sqref="B22"/>
    </sheetView>
  </sheetViews>
  <sheetFormatPr defaultRowHeight="15" x14ac:dyDescent="0.25"/>
  <cols>
    <col min="1" max="1" width="5.7109375" bestFit="1" customWidth="1"/>
    <col min="2" max="2" width="20.7109375" bestFit="1" customWidth="1"/>
    <col min="3" max="3" width="14.28515625" bestFit="1" customWidth="1"/>
    <col min="4" max="4" width="16" bestFit="1" customWidth="1"/>
    <col min="5" max="5" width="12.28515625" bestFit="1" customWidth="1"/>
    <col min="6" max="6" width="11.28515625" bestFit="1" customWidth="1"/>
    <col min="7" max="7" width="7.7109375" bestFit="1" customWidth="1"/>
    <col min="8" max="8" width="8.7109375" bestFit="1" customWidth="1"/>
    <col min="9" max="9" width="11.42578125" bestFit="1" customWidth="1"/>
    <col min="10" max="10" width="15" bestFit="1" customWidth="1"/>
    <col min="11" max="11" width="9.85546875" bestFit="1" customWidth="1"/>
    <col min="12" max="12" width="7.85546875" bestFit="1" customWidth="1"/>
  </cols>
  <sheetData>
    <row r="1" spans="1:12" ht="15.75" thickBot="1" x14ac:dyDescent="0.3">
      <c r="A1" s="5" t="s">
        <v>8</v>
      </c>
      <c r="B1" s="6" t="s">
        <v>6</v>
      </c>
      <c r="C1" s="6" t="s">
        <v>3</v>
      </c>
      <c r="D1" s="6" t="s">
        <v>103</v>
      </c>
      <c r="E1" s="6" t="s">
        <v>10</v>
      </c>
      <c r="F1" s="6" t="s">
        <v>104</v>
      </c>
      <c r="G1" s="6" t="s">
        <v>4</v>
      </c>
      <c r="H1" s="6" t="s">
        <v>5</v>
      </c>
      <c r="I1" s="6" t="s">
        <v>162</v>
      </c>
      <c r="J1" s="6" t="s">
        <v>0</v>
      </c>
      <c r="K1" s="6" t="s">
        <v>2</v>
      </c>
      <c r="L1" s="7" t="s">
        <v>11</v>
      </c>
    </row>
    <row r="2" spans="1:12" x14ac:dyDescent="0.25">
      <c r="A2" s="8" t="s">
        <v>9</v>
      </c>
      <c r="B2" s="8" t="s">
        <v>7</v>
      </c>
      <c r="C2" s="8">
        <v>0</v>
      </c>
      <c r="D2" s="8" t="s">
        <v>126</v>
      </c>
      <c r="E2" s="8" t="s">
        <v>134</v>
      </c>
      <c r="F2" s="8">
        <v>15</v>
      </c>
      <c r="G2" s="8">
        <v>1</v>
      </c>
      <c r="H2" s="8">
        <f t="shared" ref="H2:H10" si="0">F2+G2</f>
        <v>16</v>
      </c>
      <c r="I2" s="8">
        <f t="shared" ref="I2:I10" si="1">SUMIF(C:C,C2,H:H)</f>
        <v>129</v>
      </c>
      <c r="J2" s="8" t="s">
        <v>1</v>
      </c>
      <c r="K2" s="8">
        <v>0</v>
      </c>
      <c r="L2" s="8" t="s">
        <v>141</v>
      </c>
    </row>
    <row r="3" spans="1:12" x14ac:dyDescent="0.25">
      <c r="A3" s="9" t="s">
        <v>9</v>
      </c>
      <c r="B3" s="9" t="s">
        <v>7</v>
      </c>
      <c r="C3" s="9">
        <v>0</v>
      </c>
      <c r="D3" s="8" t="s">
        <v>133</v>
      </c>
      <c r="E3" s="9" t="s">
        <v>140</v>
      </c>
      <c r="F3" s="9">
        <v>40</v>
      </c>
      <c r="G3" s="9">
        <v>1</v>
      </c>
      <c r="H3" s="9">
        <f t="shared" si="0"/>
        <v>41</v>
      </c>
      <c r="I3" s="9">
        <f t="shared" si="1"/>
        <v>129</v>
      </c>
      <c r="J3" s="9" t="s">
        <v>1</v>
      </c>
      <c r="K3" s="9">
        <v>0</v>
      </c>
      <c r="L3" s="9" t="s">
        <v>148</v>
      </c>
    </row>
    <row r="4" spans="1:12" x14ac:dyDescent="0.25">
      <c r="A4" s="9" t="s">
        <v>9</v>
      </c>
      <c r="B4" s="9" t="s">
        <v>7</v>
      </c>
      <c r="C4" s="9">
        <v>0</v>
      </c>
      <c r="D4" s="9" t="s">
        <v>132</v>
      </c>
      <c r="E4" s="9" t="s">
        <v>139</v>
      </c>
      <c r="F4" s="9">
        <v>45</v>
      </c>
      <c r="G4" s="9">
        <v>1</v>
      </c>
      <c r="H4" s="9">
        <f t="shared" si="0"/>
        <v>46</v>
      </c>
      <c r="I4" s="9">
        <f t="shared" si="1"/>
        <v>129</v>
      </c>
      <c r="J4" s="9" t="s">
        <v>168</v>
      </c>
      <c r="K4" s="9">
        <v>2</v>
      </c>
      <c r="L4" s="9" t="s">
        <v>147</v>
      </c>
    </row>
    <row r="5" spans="1:12" x14ac:dyDescent="0.25">
      <c r="A5" s="9" t="s">
        <v>9</v>
      </c>
      <c r="B5" s="9" t="s">
        <v>7</v>
      </c>
      <c r="C5" s="9">
        <v>0</v>
      </c>
      <c r="D5" s="9" t="s">
        <v>131</v>
      </c>
      <c r="E5" s="9" t="s">
        <v>138</v>
      </c>
      <c r="F5" s="9">
        <v>25</v>
      </c>
      <c r="G5" s="9">
        <v>1</v>
      </c>
      <c r="H5" s="9">
        <f t="shared" si="0"/>
        <v>26</v>
      </c>
      <c r="I5" s="9">
        <f t="shared" si="1"/>
        <v>129</v>
      </c>
      <c r="J5" s="9" t="s">
        <v>167</v>
      </c>
      <c r="K5" s="9">
        <v>1</v>
      </c>
      <c r="L5" s="9" t="s">
        <v>146</v>
      </c>
    </row>
    <row r="6" spans="1:12" x14ac:dyDescent="0.25">
      <c r="A6" s="9" t="s">
        <v>9</v>
      </c>
      <c r="B6" s="9" t="s">
        <v>107</v>
      </c>
      <c r="C6" s="9">
        <v>1</v>
      </c>
      <c r="D6" s="9" t="s">
        <v>126</v>
      </c>
      <c r="E6" s="9" t="s">
        <v>150</v>
      </c>
      <c r="F6" s="9">
        <v>40</v>
      </c>
      <c r="G6" s="9">
        <v>1</v>
      </c>
      <c r="H6" s="9">
        <f t="shared" si="0"/>
        <v>41</v>
      </c>
      <c r="I6" s="9">
        <f t="shared" si="1"/>
        <v>78</v>
      </c>
      <c r="J6" s="9" t="s">
        <v>1</v>
      </c>
      <c r="K6" s="9">
        <v>0</v>
      </c>
      <c r="L6" s="9" t="s">
        <v>142</v>
      </c>
    </row>
    <row r="7" spans="1:12" x14ac:dyDescent="0.25">
      <c r="A7" s="9" t="s">
        <v>9</v>
      </c>
      <c r="B7" s="9" t="s">
        <v>107</v>
      </c>
      <c r="C7" s="9">
        <v>1</v>
      </c>
      <c r="D7" s="9" t="s">
        <v>127</v>
      </c>
      <c r="E7" s="9" t="s">
        <v>135</v>
      </c>
      <c r="F7" s="9">
        <v>5</v>
      </c>
      <c r="G7" s="9">
        <v>1</v>
      </c>
      <c r="H7" s="9">
        <f t="shared" si="0"/>
        <v>6</v>
      </c>
      <c r="I7" s="9">
        <f t="shared" si="1"/>
        <v>78</v>
      </c>
      <c r="J7" s="9" t="s">
        <v>169</v>
      </c>
      <c r="K7" s="9">
        <v>4</v>
      </c>
      <c r="L7" s="9" t="s">
        <v>143</v>
      </c>
    </row>
    <row r="8" spans="1:12" x14ac:dyDescent="0.25">
      <c r="A8" s="9" t="s">
        <v>9</v>
      </c>
      <c r="B8" s="9" t="s">
        <v>107</v>
      </c>
      <c r="C8" s="9">
        <v>1</v>
      </c>
      <c r="D8" s="9" t="s">
        <v>128</v>
      </c>
      <c r="E8" s="9" t="s">
        <v>136</v>
      </c>
      <c r="F8" s="9">
        <v>30</v>
      </c>
      <c r="G8" s="9">
        <v>1</v>
      </c>
      <c r="H8" s="9">
        <f t="shared" si="0"/>
        <v>31</v>
      </c>
      <c r="I8" s="9">
        <f t="shared" si="1"/>
        <v>78</v>
      </c>
      <c r="J8" s="9" t="s">
        <v>166</v>
      </c>
      <c r="K8" s="9">
        <v>0</v>
      </c>
      <c r="L8" s="9" t="s">
        <v>150</v>
      </c>
    </row>
    <row r="9" spans="1:12" x14ac:dyDescent="0.25">
      <c r="A9" s="9" t="s">
        <v>9</v>
      </c>
      <c r="B9" s="9" t="s">
        <v>149</v>
      </c>
      <c r="C9" s="9">
        <v>2</v>
      </c>
      <c r="D9" s="9" t="s">
        <v>129</v>
      </c>
      <c r="E9" s="9" t="s">
        <v>150</v>
      </c>
      <c r="F9" s="9">
        <v>35</v>
      </c>
      <c r="G9" s="9">
        <v>1</v>
      </c>
      <c r="H9" s="9">
        <f t="shared" si="0"/>
        <v>36</v>
      </c>
      <c r="I9" s="9">
        <f t="shared" si="1"/>
        <v>67</v>
      </c>
      <c r="J9" s="9" t="s">
        <v>1</v>
      </c>
      <c r="K9" s="9">
        <v>0</v>
      </c>
      <c r="L9" s="9" t="s">
        <v>144</v>
      </c>
    </row>
    <row r="10" spans="1:12" x14ac:dyDescent="0.25">
      <c r="A10" s="9" t="s">
        <v>9</v>
      </c>
      <c r="B10" s="9" t="s">
        <v>149</v>
      </c>
      <c r="C10" s="9">
        <v>2</v>
      </c>
      <c r="D10" s="9" t="s">
        <v>130</v>
      </c>
      <c r="E10" s="9" t="s">
        <v>137</v>
      </c>
      <c r="F10" s="9">
        <v>30</v>
      </c>
      <c r="G10" s="9">
        <v>1</v>
      </c>
      <c r="H10" s="9">
        <f t="shared" si="0"/>
        <v>31</v>
      </c>
      <c r="I10" s="9">
        <f t="shared" si="1"/>
        <v>67</v>
      </c>
      <c r="J10" s="9" t="s">
        <v>1</v>
      </c>
      <c r="K10" s="9">
        <v>0</v>
      </c>
      <c r="L10" s="9" t="s">
        <v>145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6A839-8E43-4418-9EFF-CB2AE4E0B19B}">
  <sheetPr codeName="Sheet12"/>
  <dimension ref="A1:L11"/>
  <sheetViews>
    <sheetView workbookViewId="0">
      <selection sqref="A1:L11"/>
    </sheetView>
  </sheetViews>
  <sheetFormatPr defaultRowHeight="15" x14ac:dyDescent="0.25"/>
  <sheetData>
    <row r="1" spans="1:12" x14ac:dyDescent="0.25">
      <c r="A1" s="9" t="s">
        <v>95</v>
      </c>
      <c r="B1" s="9"/>
      <c r="C1" s="9" t="s">
        <v>96</v>
      </c>
      <c r="D1" s="9"/>
      <c r="E1" s="9" t="s">
        <v>97</v>
      </c>
      <c r="F1" s="9"/>
      <c r="G1" s="9" t="s">
        <v>98</v>
      </c>
      <c r="H1" s="9"/>
      <c r="I1" s="9" t="s">
        <v>99</v>
      </c>
      <c r="J1" s="9"/>
      <c r="K1" s="9" t="s">
        <v>100</v>
      </c>
      <c r="L1" s="9"/>
    </row>
    <row r="2" spans="1:12" x14ac:dyDescent="0.25">
      <c r="A2" s="9" t="s">
        <v>35</v>
      </c>
      <c r="B2" s="9" t="s">
        <v>151</v>
      </c>
      <c r="C2" s="9" t="s">
        <v>45</v>
      </c>
      <c r="D2" s="9" t="s">
        <v>171</v>
      </c>
      <c r="E2" s="9" t="s">
        <v>55</v>
      </c>
      <c r="F2" s="9" t="s">
        <v>160</v>
      </c>
      <c r="G2" s="9" t="s">
        <v>60</v>
      </c>
      <c r="H2" s="9" t="s">
        <v>160</v>
      </c>
      <c r="I2" s="9" t="s">
        <v>78</v>
      </c>
      <c r="J2" s="9" t="s">
        <v>160</v>
      </c>
      <c r="K2" s="9" t="s">
        <v>86</v>
      </c>
      <c r="L2" s="9" t="s">
        <v>160</v>
      </c>
    </row>
    <row r="3" spans="1:12" x14ac:dyDescent="0.25">
      <c r="A3" s="9" t="s">
        <v>36</v>
      </c>
      <c r="B3" s="9" t="s">
        <v>152</v>
      </c>
      <c r="C3" s="9" t="s">
        <v>46</v>
      </c>
      <c r="D3" s="9" t="s">
        <v>172</v>
      </c>
      <c r="E3" s="9" t="s">
        <v>56</v>
      </c>
      <c r="F3" s="9" t="s">
        <v>160</v>
      </c>
      <c r="G3" s="9" t="s">
        <v>70</v>
      </c>
      <c r="H3" s="9" t="s">
        <v>160</v>
      </c>
      <c r="I3" s="9" t="s">
        <v>79</v>
      </c>
      <c r="J3" s="9" t="s">
        <v>160</v>
      </c>
      <c r="K3" s="9" t="s">
        <v>87</v>
      </c>
      <c r="L3" s="9" t="s">
        <v>160</v>
      </c>
    </row>
    <row r="4" spans="1:12" x14ac:dyDescent="0.25">
      <c r="A4" s="9" t="s">
        <v>37</v>
      </c>
      <c r="B4" s="9" t="s">
        <v>153</v>
      </c>
      <c r="C4" s="9" t="s">
        <v>47</v>
      </c>
      <c r="D4" s="9" t="s">
        <v>173</v>
      </c>
      <c r="E4" s="9" t="s">
        <v>57</v>
      </c>
      <c r="F4" s="9" t="s">
        <v>160</v>
      </c>
      <c r="G4" s="9" t="s">
        <v>71</v>
      </c>
      <c r="H4" s="9" t="s">
        <v>160</v>
      </c>
      <c r="I4" s="9" t="s">
        <v>62</v>
      </c>
      <c r="J4" s="9" t="s">
        <v>160</v>
      </c>
      <c r="K4" s="9" t="s">
        <v>88</v>
      </c>
      <c r="L4" s="9" t="s">
        <v>160</v>
      </c>
    </row>
    <row r="5" spans="1:12" x14ac:dyDescent="0.25">
      <c r="A5" s="9" t="s">
        <v>38</v>
      </c>
      <c r="B5" s="9" t="s">
        <v>154</v>
      </c>
      <c r="C5" s="9" t="s">
        <v>48</v>
      </c>
      <c r="D5" s="9" t="s">
        <v>174</v>
      </c>
      <c r="E5" s="9" t="s">
        <v>58</v>
      </c>
      <c r="F5" s="9" t="s">
        <v>160</v>
      </c>
      <c r="G5" s="9" t="s">
        <v>72</v>
      </c>
      <c r="H5" s="9" t="s">
        <v>160</v>
      </c>
      <c r="I5" s="9" t="s">
        <v>80</v>
      </c>
      <c r="J5" s="9" t="s">
        <v>160</v>
      </c>
      <c r="K5" s="9" t="s">
        <v>89</v>
      </c>
      <c r="L5" s="9" t="s">
        <v>160</v>
      </c>
    </row>
    <row r="6" spans="1:12" x14ac:dyDescent="0.25">
      <c r="A6" s="9" t="s">
        <v>39</v>
      </c>
      <c r="B6" s="9" t="s">
        <v>155</v>
      </c>
      <c r="C6" s="9" t="s">
        <v>49</v>
      </c>
      <c r="D6" s="9" t="s">
        <v>175</v>
      </c>
      <c r="E6" s="9" t="s">
        <v>59</v>
      </c>
      <c r="F6" s="9" t="s">
        <v>160</v>
      </c>
      <c r="G6" s="9" t="s">
        <v>73</v>
      </c>
      <c r="H6" s="9" t="s">
        <v>160</v>
      </c>
      <c r="I6" s="9" t="s">
        <v>81</v>
      </c>
      <c r="J6" s="9" t="s">
        <v>160</v>
      </c>
      <c r="K6" s="9" t="s">
        <v>64</v>
      </c>
      <c r="L6" s="9" t="s">
        <v>160</v>
      </c>
    </row>
    <row r="7" spans="1:12" x14ac:dyDescent="0.25">
      <c r="A7" s="9" t="s">
        <v>40</v>
      </c>
      <c r="B7" s="9" t="s">
        <v>156</v>
      </c>
      <c r="C7" s="9" t="s">
        <v>50</v>
      </c>
      <c r="D7" s="9" t="s">
        <v>101</v>
      </c>
      <c r="E7" s="9" t="s">
        <v>65</v>
      </c>
      <c r="F7" s="9" t="s">
        <v>160</v>
      </c>
      <c r="G7" s="9" t="s">
        <v>74</v>
      </c>
      <c r="H7" s="9" t="s">
        <v>160</v>
      </c>
      <c r="I7" s="9" t="s">
        <v>82</v>
      </c>
      <c r="J7" s="9" t="s">
        <v>160</v>
      </c>
      <c r="K7" s="9" t="s">
        <v>90</v>
      </c>
      <c r="L7" s="9" t="s">
        <v>160</v>
      </c>
    </row>
    <row r="8" spans="1:12" x14ac:dyDescent="0.25">
      <c r="A8" s="9" t="s">
        <v>41</v>
      </c>
      <c r="B8" s="9" t="s">
        <v>157</v>
      </c>
      <c r="C8" s="9" t="s">
        <v>51</v>
      </c>
      <c r="D8" s="9" t="s">
        <v>160</v>
      </c>
      <c r="E8" s="9" t="s">
        <v>66</v>
      </c>
      <c r="F8" s="9" t="s">
        <v>160</v>
      </c>
      <c r="G8" s="9" t="s">
        <v>61</v>
      </c>
      <c r="H8" s="9" t="s">
        <v>160</v>
      </c>
      <c r="I8" s="9" t="s">
        <v>83</v>
      </c>
      <c r="J8" s="9" t="s">
        <v>160</v>
      </c>
      <c r="K8" s="9" t="s">
        <v>91</v>
      </c>
      <c r="L8" s="9" t="s">
        <v>160</v>
      </c>
    </row>
    <row r="9" spans="1:12" x14ac:dyDescent="0.25">
      <c r="A9" s="9" t="s">
        <v>42</v>
      </c>
      <c r="B9" s="9" t="s">
        <v>158</v>
      </c>
      <c r="C9" s="9" t="s">
        <v>52</v>
      </c>
      <c r="D9" s="9" t="s">
        <v>160</v>
      </c>
      <c r="E9" s="9" t="s">
        <v>67</v>
      </c>
      <c r="F9" s="9" t="s">
        <v>160</v>
      </c>
      <c r="G9" s="9" t="s">
        <v>75</v>
      </c>
      <c r="H9" s="9" t="s">
        <v>160</v>
      </c>
      <c r="I9" s="9" t="s">
        <v>84</v>
      </c>
      <c r="J9" s="9" t="s">
        <v>160</v>
      </c>
      <c r="K9" s="9" t="s">
        <v>92</v>
      </c>
      <c r="L9" s="9" t="s">
        <v>160</v>
      </c>
    </row>
    <row r="10" spans="1:12" x14ac:dyDescent="0.25">
      <c r="A10" s="9" t="s">
        <v>43</v>
      </c>
      <c r="B10" s="9" t="s">
        <v>159</v>
      </c>
      <c r="C10" s="9" t="s">
        <v>53</v>
      </c>
      <c r="D10" s="9" t="s">
        <v>160</v>
      </c>
      <c r="E10" s="9" t="s">
        <v>68</v>
      </c>
      <c r="F10" s="9" t="s">
        <v>160</v>
      </c>
      <c r="G10" s="9" t="s">
        <v>76</v>
      </c>
      <c r="H10" s="9" t="s">
        <v>160</v>
      </c>
      <c r="I10" s="9" t="s">
        <v>63</v>
      </c>
      <c r="J10" s="9" t="s">
        <v>160</v>
      </c>
      <c r="K10" s="9" t="s">
        <v>93</v>
      </c>
      <c r="L10" s="9" t="s">
        <v>160</v>
      </c>
    </row>
    <row r="11" spans="1:12" x14ac:dyDescent="0.25">
      <c r="A11" s="9" t="s">
        <v>44</v>
      </c>
      <c r="B11" s="9" t="s">
        <v>170</v>
      </c>
      <c r="C11" s="9" t="s">
        <v>54</v>
      </c>
      <c r="D11" s="9" t="s">
        <v>160</v>
      </c>
      <c r="E11" s="9" t="s">
        <v>69</v>
      </c>
      <c r="F11" s="9" t="s">
        <v>160</v>
      </c>
      <c r="G11" s="9" t="s">
        <v>77</v>
      </c>
      <c r="H11" s="9" t="s">
        <v>160</v>
      </c>
      <c r="I11" s="9" t="s">
        <v>85</v>
      </c>
      <c r="J11" s="9" t="s">
        <v>160</v>
      </c>
      <c r="K11" s="9" t="s">
        <v>94</v>
      </c>
      <c r="L11" s="9" t="s">
        <v>160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50B85-A29A-4762-83CB-D7B282C18586}">
  <sheetPr codeName="Sheet9"/>
  <dimension ref="A1:H28"/>
  <sheetViews>
    <sheetView workbookViewId="0">
      <selection activeCell="E2" sqref="E2:G2"/>
    </sheetView>
  </sheetViews>
  <sheetFormatPr defaultRowHeight="15" x14ac:dyDescent="0.25"/>
  <sheetData>
    <row r="1" spans="1:8" x14ac:dyDescent="0.25">
      <c r="A1" s="25" t="s">
        <v>12</v>
      </c>
      <c r="B1" s="25"/>
      <c r="C1" s="25"/>
      <c r="D1" s="25"/>
      <c r="E1" s="25"/>
      <c r="F1" s="25"/>
      <c r="G1" s="25"/>
      <c r="H1" s="25"/>
    </row>
    <row r="2" spans="1:8" x14ac:dyDescent="0.25">
      <c r="A2" s="9" t="s">
        <v>13</v>
      </c>
      <c r="B2" s="25" t="s">
        <v>14</v>
      </c>
      <c r="C2" s="25"/>
      <c r="D2" s="25"/>
      <c r="E2" s="25" t="s">
        <v>15</v>
      </c>
      <c r="F2" s="25"/>
      <c r="G2" s="25"/>
      <c r="H2" s="9" t="s">
        <v>16</v>
      </c>
    </row>
    <row r="3" spans="1:8" x14ac:dyDescent="0.25">
      <c r="A3" s="25">
        <v>1</v>
      </c>
      <c r="B3" s="25" t="s">
        <v>17</v>
      </c>
      <c r="C3" s="25"/>
      <c r="D3" s="25"/>
      <c r="E3" s="25" t="s">
        <v>18</v>
      </c>
      <c r="F3" s="25"/>
      <c r="G3" s="25"/>
      <c r="H3" s="9">
        <v>1</v>
      </c>
    </row>
    <row r="4" spans="1:8" x14ac:dyDescent="0.25">
      <c r="A4" s="25"/>
      <c r="B4" s="25" t="s">
        <v>19</v>
      </c>
      <c r="C4" s="25"/>
      <c r="D4" s="25"/>
      <c r="E4" s="25" t="s">
        <v>20</v>
      </c>
      <c r="F4" s="25"/>
      <c r="G4" s="25"/>
      <c r="H4" s="9">
        <v>1</v>
      </c>
    </row>
    <row r="5" spans="1:8" x14ac:dyDescent="0.25">
      <c r="A5" s="25"/>
      <c r="B5" s="25" t="s">
        <v>21</v>
      </c>
      <c r="C5" s="25"/>
      <c r="D5" s="25"/>
      <c r="E5" s="25" t="s">
        <v>22</v>
      </c>
      <c r="F5" s="25"/>
      <c r="G5" s="25"/>
      <c r="H5" s="9">
        <v>1</v>
      </c>
    </row>
    <row r="6" spans="1:8" x14ac:dyDescent="0.25">
      <c r="A6" s="25"/>
      <c r="B6" s="25" t="s">
        <v>23</v>
      </c>
      <c r="C6" s="25"/>
      <c r="D6" s="25"/>
      <c r="E6" s="25" t="s">
        <v>24</v>
      </c>
      <c r="F6" s="25"/>
      <c r="G6" s="25"/>
      <c r="H6" s="9">
        <v>16</v>
      </c>
    </row>
    <row r="7" spans="1:8" x14ac:dyDescent="0.25">
      <c r="A7" s="9">
        <v>2</v>
      </c>
      <c r="B7" s="25" t="s">
        <v>25</v>
      </c>
      <c r="C7" s="25"/>
      <c r="D7" s="25"/>
      <c r="E7" s="25" t="s">
        <v>26</v>
      </c>
      <c r="F7" s="25"/>
      <c r="G7" s="25"/>
      <c r="H7" s="9">
        <v>1</v>
      </c>
    </row>
    <row r="8" spans="1:8" x14ac:dyDescent="0.25">
      <c r="A8" s="9">
        <v>3</v>
      </c>
      <c r="B8" s="25" t="s">
        <v>25</v>
      </c>
      <c r="C8" s="25"/>
      <c r="D8" s="25"/>
      <c r="E8" s="25" t="s">
        <v>26</v>
      </c>
      <c r="F8" s="25"/>
      <c r="G8" s="25"/>
      <c r="H8" s="9">
        <v>1</v>
      </c>
    </row>
    <row r="9" spans="1:8" ht="15.75" customHeight="1" x14ac:dyDescent="0.25">
      <c r="A9" s="25">
        <v>4</v>
      </c>
      <c r="B9" s="25" t="s">
        <v>27</v>
      </c>
      <c r="C9" s="25"/>
      <c r="D9" s="25"/>
      <c r="E9" s="25" t="s">
        <v>29</v>
      </c>
      <c r="F9" s="25"/>
      <c r="G9" s="25"/>
      <c r="H9" s="9" t="s">
        <v>31</v>
      </c>
    </row>
    <row r="10" spans="1:8" x14ac:dyDescent="0.25">
      <c r="A10" s="25"/>
      <c r="B10" s="25" t="s">
        <v>28</v>
      </c>
      <c r="C10" s="25"/>
      <c r="D10" s="25"/>
      <c r="E10" s="25" t="s">
        <v>30</v>
      </c>
      <c r="F10" s="25"/>
      <c r="G10" s="25"/>
      <c r="H10" s="9" t="s">
        <v>31</v>
      </c>
    </row>
    <row r="11" spans="1:8" x14ac:dyDescent="0.25">
      <c r="A11" s="25">
        <v>5</v>
      </c>
      <c r="B11" s="25" t="s">
        <v>126</v>
      </c>
      <c r="C11" s="25"/>
      <c r="D11" s="25"/>
      <c r="E11" s="25" t="s">
        <v>32</v>
      </c>
      <c r="F11" s="25"/>
      <c r="G11" s="25"/>
      <c r="H11" s="9">
        <v>1</v>
      </c>
    </row>
    <row r="12" spans="1:8" x14ac:dyDescent="0.25">
      <c r="A12" s="25"/>
      <c r="B12" s="25" t="s">
        <v>134</v>
      </c>
      <c r="C12" s="25"/>
      <c r="D12" s="25"/>
      <c r="E12" s="25" t="s">
        <v>33</v>
      </c>
      <c r="F12" s="25"/>
      <c r="G12" s="25"/>
      <c r="H12" s="9">
        <v>1</v>
      </c>
    </row>
    <row r="13" spans="1:8" x14ac:dyDescent="0.25">
      <c r="A13" s="25"/>
      <c r="B13" s="25" t="s">
        <v>141</v>
      </c>
      <c r="C13" s="25"/>
      <c r="D13" s="25"/>
      <c r="E13" s="25" t="s">
        <v>24</v>
      </c>
      <c r="F13" s="25"/>
      <c r="G13" s="25"/>
      <c r="H13" s="9">
        <v>15</v>
      </c>
    </row>
    <row r="14" spans="1:8" x14ac:dyDescent="0.25">
      <c r="A14" s="25">
        <v>6</v>
      </c>
      <c r="B14" s="25"/>
      <c r="C14" s="25"/>
      <c r="D14" s="25"/>
      <c r="E14" s="25" t="s">
        <v>32</v>
      </c>
      <c r="F14" s="25"/>
      <c r="G14" s="25"/>
      <c r="H14" s="9"/>
    </row>
    <row r="15" spans="1:8" x14ac:dyDescent="0.25">
      <c r="A15" s="25"/>
      <c r="B15" s="25"/>
      <c r="C15" s="25"/>
      <c r="D15" s="25"/>
      <c r="E15" s="25" t="s">
        <v>33</v>
      </c>
      <c r="F15" s="25"/>
      <c r="G15" s="25"/>
      <c r="H15" s="9"/>
    </row>
    <row r="16" spans="1:8" x14ac:dyDescent="0.25">
      <c r="A16" s="25"/>
      <c r="B16" s="25"/>
      <c r="C16" s="25"/>
      <c r="D16" s="25"/>
      <c r="E16" s="25" t="s">
        <v>24</v>
      </c>
      <c r="F16" s="25"/>
      <c r="G16" s="25"/>
      <c r="H16" s="9"/>
    </row>
    <row r="17" spans="1:8" x14ac:dyDescent="0.25">
      <c r="A17" s="25">
        <v>7</v>
      </c>
      <c r="B17" s="25"/>
      <c r="C17" s="25"/>
      <c r="D17" s="25"/>
      <c r="E17" s="25" t="s">
        <v>32</v>
      </c>
      <c r="F17" s="25"/>
      <c r="G17" s="25"/>
      <c r="H17" s="9"/>
    </row>
    <row r="18" spans="1:8" x14ac:dyDescent="0.25">
      <c r="A18" s="25"/>
      <c r="B18" s="25"/>
      <c r="C18" s="25"/>
      <c r="D18" s="25"/>
      <c r="E18" s="25" t="s">
        <v>33</v>
      </c>
      <c r="F18" s="25"/>
      <c r="G18" s="25"/>
      <c r="H18" s="9"/>
    </row>
    <row r="19" spans="1:8" x14ac:dyDescent="0.25">
      <c r="A19" s="25"/>
      <c r="B19" s="25"/>
      <c r="C19" s="25"/>
      <c r="D19" s="25"/>
      <c r="E19" s="25" t="s">
        <v>24</v>
      </c>
      <c r="F19" s="25"/>
      <c r="G19" s="25"/>
      <c r="H19" s="9"/>
    </row>
    <row r="20" spans="1:8" x14ac:dyDescent="0.25">
      <c r="A20" s="25">
        <v>8</v>
      </c>
      <c r="B20" s="25"/>
      <c r="C20" s="25"/>
      <c r="D20" s="25"/>
      <c r="E20" s="25" t="s">
        <v>32</v>
      </c>
      <c r="F20" s="25"/>
      <c r="G20" s="25"/>
      <c r="H20" s="9"/>
    </row>
    <row r="21" spans="1:8" x14ac:dyDescent="0.25">
      <c r="A21" s="25"/>
      <c r="B21" s="25"/>
      <c r="C21" s="25"/>
      <c r="D21" s="25"/>
      <c r="E21" s="25" t="s">
        <v>33</v>
      </c>
      <c r="F21" s="25"/>
      <c r="G21" s="25"/>
      <c r="H21" s="9"/>
    </row>
    <row r="22" spans="1:8" x14ac:dyDescent="0.25">
      <c r="A22" s="25"/>
      <c r="B22" s="25"/>
      <c r="C22" s="25"/>
      <c r="D22" s="25"/>
      <c r="E22" s="25" t="s">
        <v>24</v>
      </c>
      <c r="F22" s="25"/>
      <c r="G22" s="25"/>
      <c r="H22" s="9"/>
    </row>
    <row r="23" spans="1:8" x14ac:dyDescent="0.25">
      <c r="A23" s="25">
        <v>9</v>
      </c>
      <c r="B23" s="25"/>
      <c r="C23" s="25"/>
      <c r="D23" s="25"/>
      <c r="E23" s="25" t="s">
        <v>32</v>
      </c>
      <c r="F23" s="25"/>
      <c r="G23" s="25"/>
      <c r="H23" s="9"/>
    </row>
    <row r="24" spans="1:8" x14ac:dyDescent="0.25">
      <c r="A24" s="25"/>
      <c r="B24" s="25"/>
      <c r="C24" s="25"/>
      <c r="D24" s="25"/>
      <c r="E24" s="25" t="s">
        <v>33</v>
      </c>
      <c r="F24" s="25"/>
      <c r="G24" s="25"/>
      <c r="H24" s="9"/>
    </row>
    <row r="25" spans="1:8" x14ac:dyDescent="0.25">
      <c r="A25" s="25"/>
      <c r="B25" s="25"/>
      <c r="C25" s="25"/>
      <c r="D25" s="25"/>
      <c r="E25" s="25" t="s">
        <v>24</v>
      </c>
      <c r="F25" s="25"/>
      <c r="G25" s="25"/>
      <c r="H25" s="9"/>
    </row>
    <row r="26" spans="1:8" x14ac:dyDescent="0.25">
      <c r="A26" s="25">
        <v>10</v>
      </c>
      <c r="B26" s="25"/>
      <c r="C26" s="25"/>
      <c r="D26" s="25"/>
      <c r="E26" s="25" t="s">
        <v>32</v>
      </c>
      <c r="F26" s="25"/>
      <c r="G26" s="25"/>
      <c r="H26" s="9"/>
    </row>
    <row r="27" spans="1:8" x14ac:dyDescent="0.25">
      <c r="A27" s="25"/>
      <c r="B27" s="25"/>
      <c r="C27" s="25"/>
      <c r="D27" s="25"/>
      <c r="E27" s="25" t="s">
        <v>33</v>
      </c>
      <c r="F27" s="25"/>
      <c r="G27" s="25"/>
      <c r="H27" s="9"/>
    </row>
    <row r="28" spans="1:8" x14ac:dyDescent="0.25">
      <c r="A28" s="25"/>
      <c r="B28" s="25"/>
      <c r="C28" s="25"/>
      <c r="D28" s="25"/>
      <c r="E28" s="25" t="s">
        <v>24</v>
      </c>
      <c r="F28" s="25"/>
      <c r="G28" s="25"/>
      <c r="H28" s="9"/>
    </row>
  </sheetData>
  <mergeCells count="63">
    <mergeCell ref="B28:D28"/>
    <mergeCell ref="E28:G28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9:D19"/>
    <mergeCell ref="E19:G19"/>
    <mergeCell ref="B20:D20"/>
    <mergeCell ref="E20:G20"/>
    <mergeCell ref="B21:D21"/>
    <mergeCell ref="E21:G21"/>
    <mergeCell ref="B16:D16"/>
    <mergeCell ref="E16:G16"/>
    <mergeCell ref="B17:D17"/>
    <mergeCell ref="E17:G17"/>
    <mergeCell ref="B18:D18"/>
    <mergeCell ref="E18:G18"/>
    <mergeCell ref="E7:G7"/>
    <mergeCell ref="B8:D8"/>
    <mergeCell ref="E8:G8"/>
    <mergeCell ref="B9:D9"/>
    <mergeCell ref="E9:G9"/>
    <mergeCell ref="E10:G10"/>
    <mergeCell ref="A20:A22"/>
    <mergeCell ref="A23:A25"/>
    <mergeCell ref="A26:A28"/>
    <mergeCell ref="A14:A16"/>
    <mergeCell ref="A17:A19"/>
    <mergeCell ref="B11:D11"/>
    <mergeCell ref="E11:G11"/>
    <mergeCell ref="B12:D12"/>
    <mergeCell ref="E12:G12"/>
    <mergeCell ref="B13:D13"/>
    <mergeCell ref="E13:G13"/>
    <mergeCell ref="B14:D14"/>
    <mergeCell ref="E14:G14"/>
    <mergeCell ref="B15:D15"/>
    <mergeCell ref="E15:G15"/>
    <mergeCell ref="B5:D5"/>
    <mergeCell ref="A1:H1"/>
    <mergeCell ref="A3:A6"/>
    <mergeCell ref="A9:A10"/>
    <mergeCell ref="A11:A13"/>
    <mergeCell ref="E5:G5"/>
    <mergeCell ref="B6:D6"/>
    <mergeCell ref="E6:G6"/>
    <mergeCell ref="B7:D7"/>
    <mergeCell ref="B2:D2"/>
    <mergeCell ref="E2:G2"/>
    <mergeCell ref="B3:D3"/>
    <mergeCell ref="E3:G3"/>
    <mergeCell ref="B4:D4"/>
    <mergeCell ref="E4:G4"/>
    <mergeCell ref="B10:D1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3B173-9DBC-45BB-8B8A-D1546493494D}">
  <sheetPr codeName="Sheet11"/>
  <dimension ref="A1:J11"/>
  <sheetViews>
    <sheetView workbookViewId="0">
      <selection sqref="A1:J11"/>
    </sheetView>
  </sheetViews>
  <sheetFormatPr defaultRowHeight="15" x14ac:dyDescent="0.25"/>
  <sheetData>
    <row r="1" spans="1:10" x14ac:dyDescent="0.25">
      <c r="A1" s="26" t="s">
        <v>105</v>
      </c>
      <c r="B1" s="26"/>
      <c r="C1" s="26"/>
      <c r="D1" s="26" t="s">
        <v>106</v>
      </c>
      <c r="E1" s="26"/>
      <c r="F1" s="26"/>
      <c r="G1" s="26" t="s">
        <v>34</v>
      </c>
      <c r="H1" s="26"/>
      <c r="I1" s="26"/>
      <c r="J1" s="26"/>
    </row>
    <row r="2" spans="1:10" x14ac:dyDescent="0.25">
      <c r="A2" s="25" t="s">
        <v>25</v>
      </c>
      <c r="B2" s="25"/>
      <c r="C2" s="25"/>
      <c r="D2" s="25" t="s">
        <v>126</v>
      </c>
      <c r="E2" s="25"/>
      <c r="F2" s="25"/>
      <c r="G2" s="25" t="s">
        <v>176</v>
      </c>
      <c r="H2" s="25"/>
      <c r="I2" s="25"/>
      <c r="J2" s="25"/>
    </row>
    <row r="3" spans="1:10" x14ac:dyDescent="0.25">
      <c r="A3" s="25" t="s">
        <v>25</v>
      </c>
      <c r="B3" s="25"/>
      <c r="C3" s="25"/>
      <c r="D3" s="25" t="s">
        <v>17</v>
      </c>
      <c r="E3" s="25"/>
      <c r="F3" s="25"/>
      <c r="G3" s="25" t="s">
        <v>7</v>
      </c>
      <c r="H3" s="25"/>
      <c r="I3" s="25"/>
      <c r="J3" s="25"/>
    </row>
    <row r="4" spans="1:10" x14ac:dyDescent="0.25">
      <c r="A4" s="25"/>
      <c r="B4" s="25"/>
      <c r="C4" s="25"/>
      <c r="D4" s="25"/>
      <c r="E4" s="25"/>
      <c r="F4" s="25"/>
      <c r="G4" s="25"/>
      <c r="H4" s="25"/>
      <c r="I4" s="25"/>
      <c r="J4" s="25"/>
    </row>
    <row r="5" spans="1:10" x14ac:dyDescent="0.25">
      <c r="A5" s="25"/>
      <c r="B5" s="25"/>
      <c r="C5" s="25"/>
      <c r="D5" s="25"/>
      <c r="E5" s="25"/>
      <c r="F5" s="25"/>
      <c r="G5" s="25"/>
      <c r="H5" s="25"/>
      <c r="I5" s="25"/>
      <c r="J5" s="25"/>
    </row>
    <row r="6" spans="1:10" x14ac:dyDescent="0.25">
      <c r="A6" s="25"/>
      <c r="B6" s="25"/>
      <c r="C6" s="25"/>
      <c r="D6" s="25"/>
      <c r="E6" s="25"/>
      <c r="F6" s="25"/>
      <c r="G6" s="25"/>
      <c r="H6" s="25"/>
      <c r="I6" s="25"/>
      <c r="J6" s="25"/>
    </row>
    <row r="7" spans="1:10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</row>
    <row r="8" spans="1:10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</row>
    <row r="9" spans="1:10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</row>
  </sheetData>
  <mergeCells count="33">
    <mergeCell ref="A11:C11"/>
    <mergeCell ref="D11:F11"/>
    <mergeCell ref="G11:J11"/>
    <mergeCell ref="A9:C9"/>
    <mergeCell ref="D9:F9"/>
    <mergeCell ref="G9:J9"/>
    <mergeCell ref="A10:C10"/>
    <mergeCell ref="D10:F10"/>
    <mergeCell ref="G10:J10"/>
    <mergeCell ref="A7:C7"/>
    <mergeCell ref="D7:F7"/>
    <mergeCell ref="G7:J7"/>
    <mergeCell ref="A8:C8"/>
    <mergeCell ref="D8:F8"/>
    <mergeCell ref="G8:J8"/>
    <mergeCell ref="A5:C5"/>
    <mergeCell ref="D5:F5"/>
    <mergeCell ref="G5:J5"/>
    <mergeCell ref="A6:C6"/>
    <mergeCell ref="D6:F6"/>
    <mergeCell ref="G6:J6"/>
    <mergeCell ref="A3:C3"/>
    <mergeCell ref="D3:F3"/>
    <mergeCell ref="G3:J3"/>
    <mergeCell ref="A4:C4"/>
    <mergeCell ref="D4:F4"/>
    <mergeCell ref="G4:J4"/>
    <mergeCell ref="A1:C1"/>
    <mergeCell ref="D1:F1"/>
    <mergeCell ref="G1:J1"/>
    <mergeCell ref="A2:C2"/>
    <mergeCell ref="D2:F2"/>
    <mergeCell ref="G2:J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C85C9-206E-4F34-BFB8-FA651750C842}">
  <sheetPr codeName="Sheet2"/>
  <dimension ref="A1:F7"/>
  <sheetViews>
    <sheetView workbookViewId="0">
      <selection activeCell="E20" sqref="E20"/>
    </sheetView>
  </sheetViews>
  <sheetFormatPr defaultRowHeight="15" x14ac:dyDescent="0.25"/>
  <sheetData>
    <row r="1" spans="1:6" ht="15" customHeight="1" x14ac:dyDescent="0.25">
      <c r="A1" s="29" t="s">
        <v>102</v>
      </c>
      <c r="B1" s="28"/>
      <c r="C1" s="28"/>
      <c r="D1" s="28"/>
      <c r="E1" s="28"/>
      <c r="F1" s="28"/>
    </row>
    <row r="2" spans="1:6" ht="15" customHeight="1" x14ac:dyDescent="0.25">
      <c r="A2" s="28"/>
      <c r="B2" s="28"/>
      <c r="C2" s="28"/>
      <c r="D2" s="28"/>
      <c r="E2" s="28"/>
      <c r="F2" s="28"/>
    </row>
    <row r="3" spans="1:6" ht="15" customHeight="1" x14ac:dyDescent="0.25">
      <c r="A3" s="28"/>
      <c r="B3" s="28"/>
      <c r="C3" s="28"/>
      <c r="D3" s="28"/>
      <c r="E3" s="28"/>
      <c r="F3" s="28"/>
    </row>
    <row r="4" spans="1:6" x14ac:dyDescent="0.25">
      <c r="A4" s="25" t="s">
        <v>14</v>
      </c>
      <c r="B4" s="25"/>
      <c r="C4" s="27" t="s">
        <v>7</v>
      </c>
      <c r="D4" s="27"/>
      <c r="E4" s="27"/>
      <c r="F4" s="27"/>
    </row>
    <row r="5" spans="1:6" x14ac:dyDescent="0.25">
      <c r="A5" s="25"/>
      <c r="B5" s="25"/>
      <c r="C5" s="27"/>
      <c r="D5" s="27"/>
      <c r="E5" s="27"/>
      <c r="F5" s="27"/>
    </row>
    <row r="6" spans="1:6" x14ac:dyDescent="0.25">
      <c r="A6" s="28"/>
      <c r="B6" s="25"/>
      <c r="C6" s="25"/>
      <c r="D6" s="25"/>
      <c r="E6" s="25"/>
      <c r="F6" s="25"/>
    </row>
    <row r="7" spans="1:6" x14ac:dyDescent="0.25">
      <c r="A7" s="25"/>
      <c r="B7" s="25"/>
      <c r="C7" s="25"/>
      <c r="D7" s="25"/>
      <c r="E7" s="25"/>
      <c r="F7" s="25"/>
    </row>
  </sheetData>
  <mergeCells count="4">
    <mergeCell ref="C4:F5"/>
    <mergeCell ref="A6:F7"/>
    <mergeCell ref="A1:F3"/>
    <mergeCell ref="A4:B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9DEBE-8104-42AC-9C4F-15BCEE1DF0A8}">
  <sheetPr codeName="Sheet14"/>
  <dimension ref="A1:U41"/>
  <sheetViews>
    <sheetView zoomScale="85" zoomScaleNormal="85" workbookViewId="0">
      <selection activeCell="I19" sqref="I19"/>
    </sheetView>
  </sheetViews>
  <sheetFormatPr defaultRowHeight="15" x14ac:dyDescent="0.25"/>
  <cols>
    <col min="1" max="1" width="6.85546875" customWidth="1"/>
    <col min="2" max="2" width="12.7109375" customWidth="1"/>
    <col min="3" max="3" width="6.85546875" customWidth="1"/>
    <col min="4" max="4" width="12.7109375" customWidth="1"/>
    <col min="5" max="5" width="6.85546875" customWidth="1"/>
    <col min="6" max="6" width="12.7109375" customWidth="1"/>
    <col min="7" max="7" width="6.85546875" customWidth="1"/>
    <col min="8" max="8" width="12.7109375" customWidth="1"/>
    <col min="9" max="9" width="6.85546875" customWidth="1"/>
    <col min="10" max="10" width="12.7109375" customWidth="1"/>
    <col min="11" max="11" width="6.85546875" customWidth="1"/>
    <col min="12" max="12" width="12.7109375" customWidth="1"/>
  </cols>
  <sheetData>
    <row r="1" spans="1:21" x14ac:dyDescent="0.25">
      <c r="A1" s="9" t="s">
        <v>95</v>
      </c>
      <c r="B1" s="9"/>
      <c r="C1" s="9" t="s">
        <v>96</v>
      </c>
      <c r="D1" s="9"/>
      <c r="E1" s="9" t="s">
        <v>97</v>
      </c>
      <c r="F1" s="9"/>
      <c r="G1" s="9" t="s">
        <v>98</v>
      </c>
      <c r="H1" s="9"/>
      <c r="I1" s="9" t="s">
        <v>99</v>
      </c>
      <c r="J1" s="9"/>
      <c r="K1" s="9" t="s">
        <v>100</v>
      </c>
      <c r="L1" s="9"/>
    </row>
    <row r="2" spans="1:21" ht="15" customHeight="1" x14ac:dyDescent="0.25">
      <c r="A2" s="9" t="s">
        <v>35</v>
      </c>
      <c r="B2" s="9" t="s">
        <v>151</v>
      </c>
      <c r="C2" s="9" t="s">
        <v>45</v>
      </c>
      <c r="D2" s="9" t="s">
        <v>171</v>
      </c>
      <c r="E2" s="9" t="s">
        <v>55</v>
      </c>
      <c r="F2" s="9" t="s">
        <v>160</v>
      </c>
      <c r="G2" s="9" t="s">
        <v>60</v>
      </c>
      <c r="H2" s="9" t="s">
        <v>160</v>
      </c>
      <c r="I2" s="9" t="s">
        <v>78</v>
      </c>
      <c r="J2" s="9" t="s">
        <v>160</v>
      </c>
      <c r="K2" s="9" t="s">
        <v>86</v>
      </c>
      <c r="L2" s="9" t="s">
        <v>160</v>
      </c>
      <c r="O2" s="29" t="s">
        <v>102</v>
      </c>
      <c r="P2" s="28"/>
      <c r="Q2" s="28"/>
      <c r="R2" s="28"/>
      <c r="S2" s="28"/>
      <c r="T2" s="28"/>
    </row>
    <row r="3" spans="1:21" ht="15" customHeight="1" x14ac:dyDescent="0.25">
      <c r="A3" s="9" t="s">
        <v>36</v>
      </c>
      <c r="B3" s="9" t="s">
        <v>152</v>
      </c>
      <c r="C3" s="9" t="s">
        <v>46</v>
      </c>
      <c r="D3" s="9" t="s">
        <v>172</v>
      </c>
      <c r="E3" s="9" t="s">
        <v>56</v>
      </c>
      <c r="F3" s="9" t="s">
        <v>160</v>
      </c>
      <c r="G3" s="9" t="s">
        <v>70</v>
      </c>
      <c r="H3" s="9" t="s">
        <v>160</v>
      </c>
      <c r="I3" s="9" t="s">
        <v>79</v>
      </c>
      <c r="J3" s="9" t="s">
        <v>160</v>
      </c>
      <c r="K3" s="9" t="s">
        <v>87</v>
      </c>
      <c r="L3" s="9" t="s">
        <v>160</v>
      </c>
      <c r="O3" s="28"/>
      <c r="P3" s="28"/>
      <c r="Q3" s="28"/>
      <c r="R3" s="28"/>
      <c r="S3" s="28"/>
      <c r="T3" s="28"/>
    </row>
    <row r="4" spans="1:21" ht="15" customHeight="1" x14ac:dyDescent="0.25">
      <c r="A4" s="9" t="s">
        <v>37</v>
      </c>
      <c r="B4" s="9" t="s">
        <v>153</v>
      </c>
      <c r="C4" s="9" t="s">
        <v>47</v>
      </c>
      <c r="D4" s="9" t="s">
        <v>173</v>
      </c>
      <c r="E4" s="9" t="s">
        <v>57</v>
      </c>
      <c r="F4" s="9" t="s">
        <v>160</v>
      </c>
      <c r="G4" s="9" t="s">
        <v>71</v>
      </c>
      <c r="H4" s="9" t="s">
        <v>160</v>
      </c>
      <c r="I4" s="9" t="s">
        <v>62</v>
      </c>
      <c r="J4" s="9" t="s">
        <v>160</v>
      </c>
      <c r="K4" s="9" t="s">
        <v>88</v>
      </c>
      <c r="L4" s="9" t="s">
        <v>160</v>
      </c>
      <c r="O4" s="28"/>
      <c r="P4" s="28"/>
      <c r="Q4" s="28"/>
      <c r="R4" s="28"/>
      <c r="S4" s="28"/>
      <c r="T4" s="28"/>
    </row>
    <row r="5" spans="1:21" x14ac:dyDescent="0.25">
      <c r="A5" s="9" t="s">
        <v>38</v>
      </c>
      <c r="B5" s="9" t="s">
        <v>154</v>
      </c>
      <c r="C5" s="9" t="s">
        <v>48</v>
      </c>
      <c r="D5" s="9" t="s">
        <v>174</v>
      </c>
      <c r="E5" s="9" t="s">
        <v>58</v>
      </c>
      <c r="F5" s="9" t="s">
        <v>160</v>
      </c>
      <c r="G5" s="9" t="s">
        <v>72</v>
      </c>
      <c r="H5" s="9" t="s">
        <v>160</v>
      </c>
      <c r="I5" s="9" t="s">
        <v>80</v>
      </c>
      <c r="J5" s="9" t="s">
        <v>160</v>
      </c>
      <c r="K5" s="9" t="s">
        <v>89</v>
      </c>
      <c r="L5" s="9" t="s">
        <v>160</v>
      </c>
      <c r="O5" s="25" t="s">
        <v>14</v>
      </c>
      <c r="P5" s="25"/>
      <c r="Q5" s="27" t="s">
        <v>7</v>
      </c>
      <c r="R5" s="27"/>
      <c r="S5" s="27"/>
      <c r="T5" s="27"/>
    </row>
    <row r="6" spans="1:21" x14ac:dyDescent="0.25">
      <c r="A6" s="9" t="s">
        <v>39</v>
      </c>
      <c r="B6" s="9" t="s">
        <v>155</v>
      </c>
      <c r="C6" s="9" t="s">
        <v>49</v>
      </c>
      <c r="D6" s="9" t="s">
        <v>175</v>
      </c>
      <c r="E6" s="9" t="s">
        <v>59</v>
      </c>
      <c r="F6" s="9" t="s">
        <v>160</v>
      </c>
      <c r="G6" s="9" t="s">
        <v>73</v>
      </c>
      <c r="H6" s="9" t="s">
        <v>160</v>
      </c>
      <c r="I6" s="9" t="s">
        <v>81</v>
      </c>
      <c r="J6" s="9" t="s">
        <v>160</v>
      </c>
      <c r="K6" s="9" t="s">
        <v>64</v>
      </c>
      <c r="L6" s="9" t="s">
        <v>160</v>
      </c>
      <c r="O6" s="25"/>
      <c r="P6" s="25"/>
      <c r="Q6" s="27"/>
      <c r="R6" s="27"/>
      <c r="S6" s="27"/>
      <c r="T6" s="27"/>
    </row>
    <row r="7" spans="1:21" ht="15" customHeight="1" x14ac:dyDescent="0.25">
      <c r="A7" s="9" t="s">
        <v>40</v>
      </c>
      <c r="B7" s="9" t="s">
        <v>156</v>
      </c>
      <c r="C7" s="9" t="s">
        <v>50</v>
      </c>
      <c r="D7" s="9" t="s">
        <v>101</v>
      </c>
      <c r="E7" s="9" t="s">
        <v>65</v>
      </c>
      <c r="F7" s="9" t="s">
        <v>160</v>
      </c>
      <c r="G7" s="9" t="s">
        <v>74</v>
      </c>
      <c r="H7" s="9" t="s">
        <v>160</v>
      </c>
      <c r="I7" s="9" t="s">
        <v>82</v>
      </c>
      <c r="J7" s="9" t="s">
        <v>160</v>
      </c>
      <c r="K7" s="9" t="s">
        <v>90</v>
      </c>
      <c r="L7" s="9" t="s">
        <v>160</v>
      </c>
    </row>
    <row r="8" spans="1:21" x14ac:dyDescent="0.25">
      <c r="A8" s="9" t="s">
        <v>41</v>
      </c>
      <c r="B8" s="9" t="s">
        <v>157</v>
      </c>
      <c r="C8" s="9" t="s">
        <v>51</v>
      </c>
      <c r="D8" s="9" t="s">
        <v>160</v>
      </c>
      <c r="E8" s="9" t="s">
        <v>66</v>
      </c>
      <c r="F8" s="9" t="s">
        <v>160</v>
      </c>
      <c r="G8" s="9" t="s">
        <v>61</v>
      </c>
      <c r="H8" s="9" t="s">
        <v>160</v>
      </c>
      <c r="I8" s="9" t="s">
        <v>83</v>
      </c>
      <c r="J8" s="9" t="s">
        <v>160</v>
      </c>
      <c r="K8" s="9" t="s">
        <v>91</v>
      </c>
      <c r="L8" s="9" t="s">
        <v>160</v>
      </c>
    </row>
    <row r="9" spans="1:21" x14ac:dyDescent="0.25">
      <c r="A9" s="9" t="s">
        <v>42</v>
      </c>
      <c r="B9" s="9" t="s">
        <v>158</v>
      </c>
      <c r="C9" s="9" t="s">
        <v>52</v>
      </c>
      <c r="D9" s="9" t="s">
        <v>160</v>
      </c>
      <c r="E9" s="9" t="s">
        <v>67</v>
      </c>
      <c r="F9" s="9" t="s">
        <v>160</v>
      </c>
      <c r="G9" s="9" t="s">
        <v>75</v>
      </c>
      <c r="H9" s="9" t="s">
        <v>160</v>
      </c>
      <c r="I9" s="9" t="s">
        <v>84</v>
      </c>
      <c r="J9" s="9" t="s">
        <v>160</v>
      </c>
      <c r="K9" s="9" t="s">
        <v>92</v>
      </c>
      <c r="L9" s="9" t="s">
        <v>160</v>
      </c>
    </row>
    <row r="10" spans="1:21" x14ac:dyDescent="0.25">
      <c r="A10" s="9" t="s">
        <v>43</v>
      </c>
      <c r="B10" s="9" t="s">
        <v>159</v>
      </c>
      <c r="C10" s="9" t="s">
        <v>53</v>
      </c>
      <c r="D10" s="9" t="s">
        <v>160</v>
      </c>
      <c r="E10" s="9" t="s">
        <v>68</v>
      </c>
      <c r="F10" s="9" t="s">
        <v>160</v>
      </c>
      <c r="G10" s="9" t="s">
        <v>76</v>
      </c>
      <c r="H10" s="9" t="s">
        <v>160</v>
      </c>
      <c r="I10" s="9" t="s">
        <v>63</v>
      </c>
      <c r="J10" s="9" t="s">
        <v>160</v>
      </c>
      <c r="K10" s="9" t="s">
        <v>93</v>
      </c>
      <c r="L10" s="9" t="s">
        <v>160</v>
      </c>
      <c r="N10" s="25" t="s">
        <v>12</v>
      </c>
      <c r="O10" s="25"/>
      <c r="P10" s="25"/>
      <c r="Q10" s="25"/>
      <c r="R10" s="25"/>
      <c r="S10" s="25"/>
      <c r="T10" s="25"/>
      <c r="U10" s="25"/>
    </row>
    <row r="11" spans="1:21" x14ac:dyDescent="0.25">
      <c r="A11" s="9" t="s">
        <v>44</v>
      </c>
      <c r="B11" s="9" t="s">
        <v>170</v>
      </c>
      <c r="C11" s="9" t="s">
        <v>54</v>
      </c>
      <c r="D11" s="9" t="s">
        <v>160</v>
      </c>
      <c r="E11" s="9" t="s">
        <v>69</v>
      </c>
      <c r="F11" s="9" t="s">
        <v>160</v>
      </c>
      <c r="G11" s="9" t="s">
        <v>77</v>
      </c>
      <c r="H11" s="9" t="s">
        <v>160</v>
      </c>
      <c r="I11" s="9" t="s">
        <v>85</v>
      </c>
      <c r="J11" s="9" t="s">
        <v>160</v>
      </c>
      <c r="K11" s="9" t="s">
        <v>94</v>
      </c>
      <c r="L11" s="9" t="s">
        <v>160</v>
      </c>
      <c r="N11" s="9" t="s">
        <v>13</v>
      </c>
      <c r="O11" s="25" t="s">
        <v>14</v>
      </c>
      <c r="P11" s="25"/>
      <c r="Q11" s="25"/>
      <c r="R11" s="25" t="s">
        <v>15</v>
      </c>
      <c r="S11" s="25"/>
      <c r="T11" s="25"/>
      <c r="U11" s="9" t="s">
        <v>16</v>
      </c>
    </row>
    <row r="12" spans="1:21" x14ac:dyDescent="0.25">
      <c r="N12" s="25">
        <v>1</v>
      </c>
      <c r="O12" s="25" t="s">
        <v>17</v>
      </c>
      <c r="P12" s="25"/>
      <c r="Q12" s="25"/>
      <c r="R12" s="25" t="s">
        <v>18</v>
      </c>
      <c r="S12" s="25"/>
      <c r="T12" s="25"/>
      <c r="U12" s="9">
        <v>1</v>
      </c>
    </row>
    <row r="13" spans="1:21" x14ac:dyDescent="0.25">
      <c r="N13" s="25"/>
      <c r="O13" s="25" t="s">
        <v>19</v>
      </c>
      <c r="P13" s="25"/>
      <c r="Q13" s="25"/>
      <c r="R13" s="25" t="s">
        <v>20</v>
      </c>
      <c r="S13" s="25"/>
      <c r="T13" s="25"/>
      <c r="U13" s="9">
        <v>1</v>
      </c>
    </row>
    <row r="14" spans="1:21" x14ac:dyDescent="0.25">
      <c r="N14" s="25"/>
      <c r="O14" s="25" t="s">
        <v>21</v>
      </c>
      <c r="P14" s="25"/>
      <c r="Q14" s="25"/>
      <c r="R14" s="25" t="s">
        <v>22</v>
      </c>
      <c r="S14" s="25"/>
      <c r="T14" s="25"/>
      <c r="U14" s="9">
        <v>1</v>
      </c>
    </row>
    <row r="15" spans="1:21" x14ac:dyDescent="0.25">
      <c r="N15" s="25"/>
      <c r="O15" s="25" t="s">
        <v>23</v>
      </c>
      <c r="P15" s="25"/>
      <c r="Q15" s="25"/>
      <c r="R15" s="25" t="s">
        <v>24</v>
      </c>
      <c r="S15" s="25"/>
      <c r="T15" s="25"/>
      <c r="U15" s="9">
        <v>16</v>
      </c>
    </row>
    <row r="16" spans="1:21" x14ac:dyDescent="0.25">
      <c r="N16" s="9">
        <v>2</v>
      </c>
      <c r="O16" s="25" t="s">
        <v>25</v>
      </c>
      <c r="P16" s="25"/>
      <c r="Q16" s="25"/>
      <c r="R16" s="25" t="s">
        <v>26</v>
      </c>
      <c r="S16" s="25"/>
      <c r="T16" s="25"/>
      <c r="U16" s="9">
        <v>1</v>
      </c>
    </row>
    <row r="17" spans="1:21" x14ac:dyDescent="0.25">
      <c r="N17" s="9">
        <v>3</v>
      </c>
      <c r="O17" s="25" t="s">
        <v>25</v>
      </c>
      <c r="P17" s="25"/>
      <c r="Q17" s="25"/>
      <c r="R17" s="25" t="s">
        <v>26</v>
      </c>
      <c r="S17" s="25"/>
      <c r="T17" s="25"/>
      <c r="U17" s="9">
        <v>1</v>
      </c>
    </row>
    <row r="18" spans="1:21" x14ac:dyDescent="0.25">
      <c r="N18" s="25">
        <v>4</v>
      </c>
      <c r="O18" s="25" t="s">
        <v>27</v>
      </c>
      <c r="P18" s="25"/>
      <c r="Q18" s="25"/>
      <c r="R18" s="25" t="s">
        <v>29</v>
      </c>
      <c r="S18" s="25"/>
      <c r="T18" s="25"/>
      <c r="U18" s="9" t="s">
        <v>31</v>
      </c>
    </row>
    <row r="19" spans="1:21" x14ac:dyDescent="0.25">
      <c r="N19" s="25"/>
      <c r="O19" s="25" t="s">
        <v>28</v>
      </c>
      <c r="P19" s="25"/>
      <c r="Q19" s="25"/>
      <c r="R19" s="25" t="s">
        <v>30</v>
      </c>
      <c r="S19" s="25"/>
      <c r="T19" s="25"/>
      <c r="U19" s="9" t="s">
        <v>31</v>
      </c>
    </row>
    <row r="20" spans="1:21" x14ac:dyDescent="0.25">
      <c r="N20" s="25">
        <v>5</v>
      </c>
      <c r="O20" s="25" t="s">
        <v>126</v>
      </c>
      <c r="P20" s="25"/>
      <c r="Q20" s="25"/>
      <c r="R20" s="25" t="s">
        <v>32</v>
      </c>
      <c r="S20" s="25"/>
      <c r="T20" s="25"/>
      <c r="U20" s="9">
        <v>1</v>
      </c>
    </row>
    <row r="21" spans="1:21" x14ac:dyDescent="0.25">
      <c r="N21" s="25"/>
      <c r="O21" s="25" t="s">
        <v>134</v>
      </c>
      <c r="P21" s="25"/>
      <c r="Q21" s="25"/>
      <c r="R21" s="25" t="s">
        <v>33</v>
      </c>
      <c r="S21" s="25"/>
      <c r="T21" s="25"/>
      <c r="U21" s="9">
        <v>1</v>
      </c>
    </row>
    <row r="22" spans="1:21" x14ac:dyDescent="0.25">
      <c r="N22" s="25"/>
      <c r="O22" s="25" t="s">
        <v>141</v>
      </c>
      <c r="P22" s="25"/>
      <c r="Q22" s="25"/>
      <c r="R22" s="25" t="s">
        <v>24</v>
      </c>
      <c r="S22" s="25"/>
      <c r="T22" s="25"/>
      <c r="U22" s="9">
        <v>15</v>
      </c>
    </row>
    <row r="23" spans="1:21" x14ac:dyDescent="0.25">
      <c r="N23" s="25">
        <v>6</v>
      </c>
      <c r="O23" s="25"/>
      <c r="P23" s="25"/>
      <c r="Q23" s="25"/>
      <c r="R23" s="25" t="s">
        <v>32</v>
      </c>
      <c r="S23" s="25"/>
      <c r="T23" s="25"/>
      <c r="U23" s="9"/>
    </row>
    <row r="24" spans="1:21" x14ac:dyDescent="0.25">
      <c r="N24" s="25"/>
      <c r="O24" s="25"/>
      <c r="P24" s="25"/>
      <c r="Q24" s="25"/>
      <c r="R24" s="25" t="s">
        <v>33</v>
      </c>
      <c r="S24" s="25"/>
      <c r="T24" s="25"/>
      <c r="U24" s="9"/>
    </row>
    <row r="25" spans="1:21" x14ac:dyDescent="0.25">
      <c r="N25" s="25"/>
      <c r="O25" s="25"/>
      <c r="P25" s="25"/>
      <c r="Q25" s="25"/>
      <c r="R25" s="25" t="s">
        <v>24</v>
      </c>
      <c r="S25" s="25"/>
      <c r="T25" s="25"/>
      <c r="U25" s="9"/>
    </row>
    <row r="26" spans="1:21" x14ac:dyDescent="0.25">
      <c r="N26" s="25">
        <v>7</v>
      </c>
      <c r="O26" s="25"/>
      <c r="P26" s="25"/>
      <c r="Q26" s="25"/>
      <c r="R26" s="25" t="s">
        <v>32</v>
      </c>
      <c r="S26" s="25"/>
      <c r="T26" s="25"/>
      <c r="U26" s="9"/>
    </row>
    <row r="27" spans="1:21" x14ac:dyDescent="0.25">
      <c r="N27" s="25"/>
      <c r="O27" s="25"/>
      <c r="P27" s="25"/>
      <c r="Q27" s="25"/>
      <c r="R27" s="25" t="s">
        <v>33</v>
      </c>
      <c r="S27" s="25"/>
      <c r="T27" s="25"/>
      <c r="U27" s="9"/>
    </row>
    <row r="28" spans="1:21" x14ac:dyDescent="0.25">
      <c r="N28" s="25"/>
      <c r="O28" s="25"/>
      <c r="P28" s="25"/>
      <c r="Q28" s="25"/>
      <c r="R28" s="25" t="s">
        <v>24</v>
      </c>
      <c r="S28" s="25"/>
      <c r="T28" s="25"/>
      <c r="U28" s="9"/>
    </row>
    <row r="29" spans="1:21" x14ac:dyDescent="0.25">
      <c r="N29" s="25">
        <v>8</v>
      </c>
      <c r="O29" s="25"/>
      <c r="P29" s="25"/>
      <c r="Q29" s="25"/>
      <c r="R29" s="25" t="s">
        <v>32</v>
      </c>
      <c r="S29" s="25"/>
      <c r="T29" s="25"/>
      <c r="U29" s="9"/>
    </row>
    <row r="30" spans="1:21" x14ac:dyDescent="0.25">
      <c r="N30" s="25"/>
      <c r="O30" s="25"/>
      <c r="P30" s="25"/>
      <c r="Q30" s="25"/>
      <c r="R30" s="25" t="s">
        <v>33</v>
      </c>
      <c r="S30" s="25"/>
      <c r="T30" s="25"/>
      <c r="U30" s="9"/>
    </row>
    <row r="31" spans="1:21" x14ac:dyDescent="0.25">
      <c r="A31" s="26" t="s">
        <v>105</v>
      </c>
      <c r="B31" s="26"/>
      <c r="C31" s="26"/>
      <c r="D31" s="26" t="s">
        <v>106</v>
      </c>
      <c r="E31" s="26"/>
      <c r="F31" s="26"/>
      <c r="G31" s="26" t="s">
        <v>34</v>
      </c>
      <c r="H31" s="26"/>
      <c r="I31" s="26"/>
      <c r="J31" s="26"/>
      <c r="N31" s="25"/>
      <c r="O31" s="25"/>
      <c r="P31" s="25"/>
      <c r="Q31" s="25"/>
      <c r="R31" s="25" t="s">
        <v>24</v>
      </c>
      <c r="S31" s="25"/>
      <c r="T31" s="25"/>
      <c r="U31" s="9"/>
    </row>
    <row r="32" spans="1:21" x14ac:dyDescent="0.25">
      <c r="A32" s="25" t="s">
        <v>25</v>
      </c>
      <c r="B32" s="25"/>
      <c r="C32" s="25"/>
      <c r="D32" s="25" t="s">
        <v>126</v>
      </c>
      <c r="E32" s="25"/>
      <c r="F32" s="25"/>
      <c r="G32" s="25" t="s">
        <v>176</v>
      </c>
      <c r="H32" s="25"/>
      <c r="I32" s="25"/>
      <c r="J32" s="25"/>
      <c r="N32" s="25">
        <v>9</v>
      </c>
      <c r="O32" s="25"/>
      <c r="P32" s="25"/>
      <c r="Q32" s="25"/>
      <c r="R32" s="25" t="s">
        <v>32</v>
      </c>
      <c r="S32" s="25"/>
      <c r="T32" s="25"/>
      <c r="U32" s="9"/>
    </row>
    <row r="33" spans="1:21" x14ac:dyDescent="0.25">
      <c r="A33" s="25" t="s">
        <v>25</v>
      </c>
      <c r="B33" s="25"/>
      <c r="C33" s="25"/>
      <c r="D33" s="25" t="s">
        <v>17</v>
      </c>
      <c r="E33" s="25"/>
      <c r="F33" s="25"/>
      <c r="G33" s="25" t="s">
        <v>7</v>
      </c>
      <c r="H33" s="25"/>
      <c r="I33" s="25"/>
      <c r="J33" s="25"/>
      <c r="N33" s="25"/>
      <c r="O33" s="25"/>
      <c r="P33" s="25"/>
      <c r="Q33" s="25"/>
      <c r="R33" s="25" t="s">
        <v>33</v>
      </c>
      <c r="S33" s="25"/>
      <c r="T33" s="25"/>
      <c r="U33" s="9"/>
    </row>
    <row r="34" spans="1:21" x14ac:dyDescent="0.25">
      <c r="A34" s="25"/>
      <c r="B34" s="25"/>
      <c r="C34" s="25"/>
      <c r="D34" s="25"/>
      <c r="E34" s="25"/>
      <c r="F34" s="25"/>
      <c r="G34" s="25"/>
      <c r="H34" s="25"/>
      <c r="I34" s="25"/>
      <c r="J34" s="25"/>
      <c r="N34" s="25"/>
      <c r="O34" s="25"/>
      <c r="P34" s="25"/>
      <c r="Q34" s="25"/>
      <c r="R34" s="25" t="s">
        <v>24</v>
      </c>
      <c r="S34" s="25"/>
      <c r="T34" s="25"/>
      <c r="U34" s="9"/>
    </row>
    <row r="35" spans="1:21" x14ac:dyDescent="0.25">
      <c r="A35" s="25"/>
      <c r="B35" s="25"/>
      <c r="C35" s="25"/>
      <c r="D35" s="25"/>
      <c r="E35" s="25"/>
      <c r="F35" s="25"/>
      <c r="G35" s="25"/>
      <c r="H35" s="25"/>
      <c r="I35" s="25"/>
      <c r="J35" s="25"/>
      <c r="N35" s="25">
        <v>10</v>
      </c>
      <c r="O35" s="25"/>
      <c r="P35" s="25"/>
      <c r="Q35" s="25"/>
      <c r="R35" s="25" t="s">
        <v>32</v>
      </c>
      <c r="S35" s="25"/>
      <c r="T35" s="25"/>
      <c r="U35" s="9"/>
    </row>
    <row r="36" spans="1:21" x14ac:dyDescent="0.25">
      <c r="A36" s="25"/>
      <c r="B36" s="25"/>
      <c r="C36" s="25"/>
      <c r="D36" s="25"/>
      <c r="E36" s="25"/>
      <c r="F36" s="25"/>
      <c r="G36" s="25"/>
      <c r="H36" s="25"/>
      <c r="I36" s="25"/>
      <c r="J36" s="25"/>
      <c r="N36" s="25"/>
      <c r="O36" s="25"/>
      <c r="P36" s="25"/>
      <c r="Q36" s="25"/>
      <c r="R36" s="25" t="s">
        <v>33</v>
      </c>
      <c r="S36" s="25"/>
      <c r="T36" s="25"/>
      <c r="U36" s="9"/>
    </row>
    <row r="37" spans="1:21" x14ac:dyDescent="0.25">
      <c r="A37" s="25"/>
      <c r="B37" s="25"/>
      <c r="C37" s="25"/>
      <c r="D37" s="25"/>
      <c r="E37" s="25"/>
      <c r="F37" s="25"/>
      <c r="G37" s="25"/>
      <c r="H37" s="25"/>
      <c r="I37" s="25"/>
      <c r="J37" s="25"/>
      <c r="N37" s="25"/>
      <c r="O37" s="25"/>
      <c r="P37" s="25"/>
      <c r="Q37" s="25"/>
      <c r="R37" s="25" t="s">
        <v>24</v>
      </c>
      <c r="S37" s="25"/>
      <c r="T37" s="25"/>
      <c r="U37" s="9"/>
    </row>
    <row r="38" spans="1:21" x14ac:dyDescent="0.25">
      <c r="A38" s="25"/>
      <c r="B38" s="25"/>
      <c r="C38" s="25"/>
      <c r="D38" s="25"/>
      <c r="E38" s="25"/>
      <c r="F38" s="25"/>
      <c r="G38" s="25"/>
      <c r="H38" s="25"/>
      <c r="I38" s="25"/>
      <c r="J38" s="25"/>
    </row>
    <row r="39" spans="1:21" x14ac:dyDescent="0.25">
      <c r="A39" s="25"/>
      <c r="B39" s="25"/>
      <c r="C39" s="25"/>
      <c r="D39" s="25"/>
      <c r="E39" s="25"/>
      <c r="F39" s="25"/>
      <c r="G39" s="25"/>
      <c r="H39" s="25"/>
      <c r="I39" s="25"/>
      <c r="J39" s="25"/>
    </row>
    <row r="40" spans="1:21" x14ac:dyDescent="0.25">
      <c r="A40" s="25"/>
      <c r="B40" s="25"/>
      <c r="C40" s="25"/>
      <c r="D40" s="25"/>
      <c r="E40" s="25"/>
      <c r="F40" s="25"/>
      <c r="G40" s="25"/>
      <c r="H40" s="25"/>
      <c r="I40" s="25"/>
      <c r="J40" s="25"/>
    </row>
    <row r="41" spans="1:21" x14ac:dyDescent="0.25">
      <c r="A41" s="25"/>
      <c r="B41" s="25"/>
      <c r="C41" s="25"/>
      <c r="D41" s="25"/>
      <c r="E41" s="25"/>
      <c r="F41" s="25"/>
      <c r="G41" s="25"/>
      <c r="H41" s="25"/>
      <c r="I41" s="25"/>
      <c r="J41" s="25"/>
    </row>
  </sheetData>
  <mergeCells count="99">
    <mergeCell ref="A41:C41"/>
    <mergeCell ref="D41:F41"/>
    <mergeCell ref="G41:J41"/>
    <mergeCell ref="O2:T4"/>
    <mergeCell ref="O5:P6"/>
    <mergeCell ref="Q5:T6"/>
    <mergeCell ref="A39:C39"/>
    <mergeCell ref="D39:F39"/>
    <mergeCell ref="G39:J39"/>
    <mergeCell ref="A40:C40"/>
    <mergeCell ref="D40:F40"/>
    <mergeCell ref="G40:J40"/>
    <mergeCell ref="A37:C37"/>
    <mergeCell ref="D37:F37"/>
    <mergeCell ref="G37:J37"/>
    <mergeCell ref="A34:C34"/>
    <mergeCell ref="D34:F34"/>
    <mergeCell ref="G34:J34"/>
    <mergeCell ref="A38:C38"/>
    <mergeCell ref="D38:F38"/>
    <mergeCell ref="G38:J38"/>
    <mergeCell ref="A35:C35"/>
    <mergeCell ref="D35:F35"/>
    <mergeCell ref="G35:J35"/>
    <mergeCell ref="A36:C36"/>
    <mergeCell ref="D36:F36"/>
    <mergeCell ref="G36:J36"/>
    <mergeCell ref="A31:C31"/>
    <mergeCell ref="D31:F31"/>
    <mergeCell ref="G31:J31"/>
    <mergeCell ref="A32:C32"/>
    <mergeCell ref="D32:F32"/>
    <mergeCell ref="G32:J32"/>
    <mergeCell ref="A33:C33"/>
    <mergeCell ref="D33:F33"/>
    <mergeCell ref="G33:J33"/>
    <mergeCell ref="O34:Q34"/>
    <mergeCell ref="R34:T34"/>
    <mergeCell ref="N35:N37"/>
    <mergeCell ref="O35:Q35"/>
    <mergeCell ref="R35:T35"/>
    <mergeCell ref="O36:Q36"/>
    <mergeCell ref="R36:T36"/>
    <mergeCell ref="O37:Q37"/>
    <mergeCell ref="R37:T37"/>
    <mergeCell ref="N32:N34"/>
    <mergeCell ref="O32:Q32"/>
    <mergeCell ref="N29:N31"/>
    <mergeCell ref="O29:Q29"/>
    <mergeCell ref="R29:T29"/>
    <mergeCell ref="O30:Q30"/>
    <mergeCell ref="R30:T30"/>
    <mergeCell ref="O31:Q31"/>
    <mergeCell ref="R31:T31"/>
    <mergeCell ref="R32:T32"/>
    <mergeCell ref="O33:Q33"/>
    <mergeCell ref="R33:T33"/>
    <mergeCell ref="N23:N25"/>
    <mergeCell ref="O23:Q23"/>
    <mergeCell ref="R23:T23"/>
    <mergeCell ref="O24:Q24"/>
    <mergeCell ref="R24:T24"/>
    <mergeCell ref="O25:Q25"/>
    <mergeCell ref="R25:T25"/>
    <mergeCell ref="N26:N28"/>
    <mergeCell ref="O26:Q26"/>
    <mergeCell ref="R26:T26"/>
    <mergeCell ref="O27:Q27"/>
    <mergeCell ref="R27:T27"/>
    <mergeCell ref="O28:Q28"/>
    <mergeCell ref="R28:T28"/>
    <mergeCell ref="O18:Q18"/>
    <mergeCell ref="R18:T18"/>
    <mergeCell ref="O19:Q19"/>
    <mergeCell ref="R19:T19"/>
    <mergeCell ref="N20:N22"/>
    <mergeCell ref="O20:Q20"/>
    <mergeCell ref="R20:T20"/>
    <mergeCell ref="O21:Q21"/>
    <mergeCell ref="R21:T21"/>
    <mergeCell ref="O16:Q16"/>
    <mergeCell ref="R16:T16"/>
    <mergeCell ref="O17:Q17"/>
    <mergeCell ref="R17:T17"/>
    <mergeCell ref="O22:Q22"/>
    <mergeCell ref="R22:T22"/>
    <mergeCell ref="N10:U10"/>
    <mergeCell ref="O11:Q11"/>
    <mergeCell ref="R11:T11"/>
    <mergeCell ref="N12:N15"/>
    <mergeCell ref="O12:Q12"/>
    <mergeCell ref="R12:T12"/>
    <mergeCell ref="O13:Q13"/>
    <mergeCell ref="R13:T13"/>
    <mergeCell ref="O14:Q14"/>
    <mergeCell ref="R14:T14"/>
    <mergeCell ref="O15:Q15"/>
    <mergeCell ref="R15:T15"/>
    <mergeCell ref="N18:N19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3D7CA-4364-4926-A2B0-0FF4951A4693}">
  <sheetPr codeName="Sheet3"/>
  <dimension ref="A1:J11"/>
  <sheetViews>
    <sheetView workbookViewId="0">
      <selection activeCell="B2" sqref="B2:I11"/>
    </sheetView>
  </sheetViews>
  <sheetFormatPr defaultColWidth="9.28515625" defaultRowHeight="15" x14ac:dyDescent="0.25"/>
  <sheetData>
    <row r="1" spans="1:10" s="4" customFormat="1" x14ac:dyDescent="0.25">
      <c r="A1" s="4" t="s">
        <v>110</v>
      </c>
      <c r="B1" s="4" t="s">
        <v>108</v>
      </c>
      <c r="C1" s="4" t="s">
        <v>109</v>
      </c>
      <c r="D1" s="4" t="s">
        <v>111</v>
      </c>
      <c r="E1" s="4" t="s">
        <v>112</v>
      </c>
      <c r="F1" s="4" t="s">
        <v>113</v>
      </c>
      <c r="G1" s="4" t="s">
        <v>114</v>
      </c>
      <c r="H1" s="4" t="s">
        <v>115</v>
      </c>
      <c r="I1" s="4" t="s">
        <v>116</v>
      </c>
      <c r="J1" s="4" t="s">
        <v>117</v>
      </c>
    </row>
    <row r="2" spans="1:10" x14ac:dyDescent="0.25">
      <c r="A2" t="s">
        <v>7</v>
      </c>
      <c r="B2" t="s">
        <v>7</v>
      </c>
      <c r="C2" t="s">
        <v>17</v>
      </c>
      <c r="D2" t="s">
        <v>177</v>
      </c>
      <c r="E2" t="s">
        <v>177</v>
      </c>
      <c r="F2">
        <v>1</v>
      </c>
      <c r="G2">
        <v>99999</v>
      </c>
      <c r="H2">
        <v>1</v>
      </c>
      <c r="I2" t="s">
        <v>120</v>
      </c>
      <c r="J2" t="s">
        <v>121</v>
      </c>
    </row>
    <row r="3" spans="1:10" x14ac:dyDescent="0.25">
      <c r="A3" t="s">
        <v>7</v>
      </c>
      <c r="B3" t="s">
        <v>7</v>
      </c>
      <c r="C3" t="s">
        <v>19</v>
      </c>
      <c r="D3" t="s">
        <v>177</v>
      </c>
      <c r="E3" t="s">
        <v>177</v>
      </c>
      <c r="F3">
        <v>1</v>
      </c>
      <c r="G3">
        <v>99999</v>
      </c>
      <c r="H3">
        <v>1</v>
      </c>
      <c r="I3" t="s">
        <v>120</v>
      </c>
      <c r="J3" t="s">
        <v>121</v>
      </c>
    </row>
    <row r="4" spans="1:10" x14ac:dyDescent="0.25">
      <c r="A4" t="s">
        <v>7</v>
      </c>
      <c r="B4" t="s">
        <v>7</v>
      </c>
      <c r="C4" t="s">
        <v>21</v>
      </c>
      <c r="D4" t="s">
        <v>177</v>
      </c>
      <c r="E4" t="s">
        <v>177</v>
      </c>
      <c r="F4">
        <v>1</v>
      </c>
      <c r="G4">
        <v>99999</v>
      </c>
      <c r="H4">
        <v>1</v>
      </c>
      <c r="I4" t="s">
        <v>120</v>
      </c>
      <c r="J4" t="s">
        <v>121</v>
      </c>
    </row>
    <row r="5" spans="1:10" x14ac:dyDescent="0.25">
      <c r="A5" t="s">
        <v>7</v>
      </c>
      <c r="B5" t="s">
        <v>7</v>
      </c>
      <c r="C5" t="s">
        <v>23</v>
      </c>
      <c r="D5" t="s">
        <v>177</v>
      </c>
      <c r="E5" t="s">
        <v>177</v>
      </c>
      <c r="F5">
        <v>1</v>
      </c>
      <c r="G5">
        <v>99999</v>
      </c>
      <c r="H5">
        <v>16</v>
      </c>
      <c r="I5" t="s">
        <v>120</v>
      </c>
      <c r="J5" t="s">
        <v>121</v>
      </c>
    </row>
    <row r="6" spans="1:10" x14ac:dyDescent="0.25">
      <c r="A6" t="s">
        <v>7</v>
      </c>
      <c r="B6" t="s">
        <v>7</v>
      </c>
      <c r="C6" t="s">
        <v>25</v>
      </c>
      <c r="D6" t="s">
        <v>177</v>
      </c>
      <c r="E6" t="s">
        <v>177</v>
      </c>
      <c r="F6">
        <v>1</v>
      </c>
      <c r="G6">
        <v>99999</v>
      </c>
      <c r="H6">
        <v>2</v>
      </c>
      <c r="I6" t="s">
        <v>120</v>
      </c>
      <c r="J6" t="s">
        <v>121</v>
      </c>
    </row>
    <row r="7" spans="1:10" x14ac:dyDescent="0.25">
      <c r="A7" t="s">
        <v>7</v>
      </c>
      <c r="B7" t="s">
        <v>7</v>
      </c>
      <c r="C7" t="s">
        <v>124</v>
      </c>
      <c r="D7" t="s">
        <v>177</v>
      </c>
      <c r="E7" t="s">
        <v>177</v>
      </c>
      <c r="F7">
        <v>1</v>
      </c>
      <c r="G7">
        <v>99999</v>
      </c>
      <c r="H7">
        <v>750</v>
      </c>
      <c r="I7" t="s">
        <v>122</v>
      </c>
      <c r="J7" t="s">
        <v>121</v>
      </c>
    </row>
    <row r="8" spans="1:10" x14ac:dyDescent="0.25">
      <c r="A8" t="s">
        <v>7</v>
      </c>
      <c r="B8" t="s">
        <v>7</v>
      </c>
      <c r="C8" t="s">
        <v>123</v>
      </c>
      <c r="D8" t="s">
        <v>177</v>
      </c>
      <c r="E8" t="s">
        <v>177</v>
      </c>
      <c r="F8">
        <v>1</v>
      </c>
      <c r="G8">
        <v>99999</v>
      </c>
      <c r="H8">
        <v>750</v>
      </c>
      <c r="I8" t="s">
        <v>122</v>
      </c>
      <c r="J8" t="s">
        <v>121</v>
      </c>
    </row>
    <row r="9" spans="1:10" x14ac:dyDescent="0.25">
      <c r="A9" t="s">
        <v>7</v>
      </c>
      <c r="B9" t="s">
        <v>7</v>
      </c>
      <c r="C9" t="s">
        <v>126</v>
      </c>
      <c r="D9" t="s">
        <v>177</v>
      </c>
      <c r="E9" t="s">
        <v>177</v>
      </c>
      <c r="F9">
        <v>1</v>
      </c>
      <c r="G9">
        <v>99999</v>
      </c>
      <c r="H9">
        <v>1</v>
      </c>
      <c r="I9" t="s">
        <v>120</v>
      </c>
      <c r="J9" t="s">
        <v>121</v>
      </c>
    </row>
    <row r="10" spans="1:10" x14ac:dyDescent="0.25">
      <c r="A10" t="s">
        <v>7</v>
      </c>
      <c r="B10" t="s">
        <v>7</v>
      </c>
      <c r="C10" t="s">
        <v>134</v>
      </c>
      <c r="D10" t="s">
        <v>177</v>
      </c>
      <c r="E10" t="s">
        <v>177</v>
      </c>
      <c r="F10">
        <v>1</v>
      </c>
      <c r="G10">
        <v>99999</v>
      </c>
      <c r="H10">
        <v>1</v>
      </c>
      <c r="I10" t="s">
        <v>120</v>
      </c>
      <c r="J10" t="s">
        <v>121</v>
      </c>
    </row>
    <row r="11" spans="1:10" x14ac:dyDescent="0.25">
      <c r="A11" t="s">
        <v>7</v>
      </c>
      <c r="B11" t="s">
        <v>7</v>
      </c>
      <c r="C11" t="s">
        <v>141</v>
      </c>
      <c r="D11" t="s">
        <v>177</v>
      </c>
      <c r="E11" t="s">
        <v>177</v>
      </c>
      <c r="F11">
        <v>1</v>
      </c>
      <c r="G11">
        <v>99999</v>
      </c>
      <c r="H11">
        <v>15</v>
      </c>
      <c r="I11" t="s">
        <v>120</v>
      </c>
      <c r="J11" t="s">
        <v>121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9268D-3A39-4B88-9013-DE8228CA24D1}">
  <sheetPr codeName="Sheet4"/>
  <dimension ref="A1:K11"/>
  <sheetViews>
    <sheetView workbookViewId="0">
      <selection activeCell="C21" sqref="C21"/>
    </sheetView>
  </sheetViews>
  <sheetFormatPr defaultColWidth="9" defaultRowHeight="15" x14ac:dyDescent="0.25"/>
  <cols>
    <col min="1" max="1" width="10.85546875" bestFit="1" customWidth="1"/>
    <col min="2" max="2" width="20.7109375" bestFit="1" customWidth="1"/>
    <col min="3" max="3" width="8" bestFit="1" customWidth="1"/>
    <col min="4" max="4" width="20.7109375" bestFit="1" customWidth="1"/>
    <col min="5" max="5" width="19.140625" bestFit="1" customWidth="1"/>
    <col min="6" max="6" width="6.7109375" bestFit="1" customWidth="1"/>
    <col min="7" max="7" width="4.140625" bestFit="1" customWidth="1"/>
    <col min="8" max="8" width="6.42578125" bestFit="1" customWidth="1"/>
    <col min="9" max="9" width="6.140625" bestFit="1" customWidth="1"/>
    <col min="10" max="10" width="10.28515625" bestFit="1" customWidth="1"/>
    <col min="11" max="11" width="5.7109375" bestFit="1" customWidth="1"/>
  </cols>
  <sheetData>
    <row r="1" spans="1:11" s="4" customFormat="1" x14ac:dyDescent="0.25">
      <c r="A1" s="4" t="s">
        <v>118</v>
      </c>
      <c r="B1" s="4" t="s">
        <v>110</v>
      </c>
      <c r="C1" s="4" t="s">
        <v>119</v>
      </c>
      <c r="D1" s="4" t="s">
        <v>108</v>
      </c>
      <c r="E1" s="4" t="s">
        <v>109</v>
      </c>
      <c r="F1" s="4" t="s">
        <v>111</v>
      </c>
      <c r="G1" s="4" t="s">
        <v>112</v>
      </c>
      <c r="H1" s="4" t="s">
        <v>113</v>
      </c>
      <c r="I1" s="4" t="s">
        <v>114</v>
      </c>
      <c r="J1" s="4" t="s">
        <v>115</v>
      </c>
      <c r="K1" s="4" t="s">
        <v>116</v>
      </c>
    </row>
    <row r="2" spans="1:11" x14ac:dyDescent="0.25">
      <c r="B2" t="s">
        <v>7</v>
      </c>
      <c r="C2">
        <v>40</v>
      </c>
      <c r="D2" t="s">
        <v>7</v>
      </c>
      <c r="E2" t="s">
        <v>17</v>
      </c>
      <c r="F2" t="s">
        <v>177</v>
      </c>
      <c r="G2" t="s">
        <v>177</v>
      </c>
      <c r="H2">
        <v>1</v>
      </c>
      <c r="I2">
        <v>99999</v>
      </c>
      <c r="J2">
        <v>1</v>
      </c>
      <c r="K2" t="s">
        <v>120</v>
      </c>
    </row>
    <row r="3" spans="1:11" x14ac:dyDescent="0.25">
      <c r="B3" t="s">
        <v>7</v>
      </c>
      <c r="C3">
        <v>40</v>
      </c>
      <c r="D3" t="s">
        <v>7</v>
      </c>
      <c r="E3" t="s">
        <v>19</v>
      </c>
      <c r="F3" t="s">
        <v>177</v>
      </c>
      <c r="G3" t="s">
        <v>177</v>
      </c>
      <c r="H3">
        <v>1</v>
      </c>
      <c r="I3">
        <v>99999</v>
      </c>
      <c r="J3">
        <v>1</v>
      </c>
      <c r="K3" t="s">
        <v>120</v>
      </c>
    </row>
    <row r="4" spans="1:11" x14ac:dyDescent="0.25">
      <c r="B4" t="s">
        <v>7</v>
      </c>
      <c r="C4">
        <v>40</v>
      </c>
      <c r="D4" t="s">
        <v>7</v>
      </c>
      <c r="E4" t="s">
        <v>21</v>
      </c>
      <c r="F4" t="s">
        <v>177</v>
      </c>
      <c r="G4" t="s">
        <v>177</v>
      </c>
      <c r="H4">
        <v>1</v>
      </c>
      <c r="I4">
        <v>99999</v>
      </c>
      <c r="J4">
        <v>1</v>
      </c>
      <c r="K4" t="s">
        <v>120</v>
      </c>
    </row>
    <row r="5" spans="1:11" x14ac:dyDescent="0.25">
      <c r="B5" t="s">
        <v>7</v>
      </c>
      <c r="C5">
        <v>40</v>
      </c>
      <c r="D5" t="s">
        <v>7</v>
      </c>
      <c r="E5" t="s">
        <v>23</v>
      </c>
      <c r="F5" t="s">
        <v>177</v>
      </c>
      <c r="G5" t="s">
        <v>177</v>
      </c>
      <c r="H5">
        <v>1</v>
      </c>
      <c r="I5">
        <v>99999</v>
      </c>
      <c r="J5">
        <v>16</v>
      </c>
      <c r="K5" t="s">
        <v>120</v>
      </c>
    </row>
    <row r="6" spans="1:11" x14ac:dyDescent="0.25">
      <c r="B6" t="s">
        <v>7</v>
      </c>
      <c r="C6">
        <v>20</v>
      </c>
      <c r="D6" t="s">
        <v>7</v>
      </c>
      <c r="E6" t="s">
        <v>25</v>
      </c>
      <c r="F6" t="s">
        <v>177</v>
      </c>
      <c r="G6" t="s">
        <v>177</v>
      </c>
      <c r="H6">
        <v>1</v>
      </c>
      <c r="I6">
        <v>99999</v>
      </c>
      <c r="J6">
        <v>2</v>
      </c>
      <c r="K6" t="s">
        <v>120</v>
      </c>
    </row>
    <row r="7" spans="1:11" x14ac:dyDescent="0.25">
      <c r="B7" t="s">
        <v>7</v>
      </c>
      <c r="C7">
        <v>10</v>
      </c>
      <c r="D7" t="s">
        <v>7</v>
      </c>
      <c r="E7" t="s">
        <v>124</v>
      </c>
      <c r="F7" t="s">
        <v>177</v>
      </c>
      <c r="G7" t="s">
        <v>177</v>
      </c>
      <c r="H7">
        <v>1</v>
      </c>
      <c r="I7">
        <v>99999</v>
      </c>
      <c r="J7">
        <v>750</v>
      </c>
      <c r="K7" t="s">
        <v>122</v>
      </c>
    </row>
    <row r="8" spans="1:11" x14ac:dyDescent="0.25">
      <c r="B8" t="s">
        <v>7</v>
      </c>
      <c r="C8">
        <v>40</v>
      </c>
      <c r="D8" t="s">
        <v>7</v>
      </c>
      <c r="E8" t="s">
        <v>123</v>
      </c>
      <c r="F8" t="s">
        <v>177</v>
      </c>
      <c r="G8" t="s">
        <v>177</v>
      </c>
      <c r="H8">
        <v>1</v>
      </c>
      <c r="I8">
        <v>99999</v>
      </c>
      <c r="J8">
        <v>750</v>
      </c>
      <c r="K8" t="s">
        <v>122</v>
      </c>
    </row>
    <row r="9" spans="1:11" x14ac:dyDescent="0.25">
      <c r="B9" t="s">
        <v>7</v>
      </c>
      <c r="C9">
        <v>40</v>
      </c>
      <c r="D9" t="s">
        <v>7</v>
      </c>
      <c r="E9" t="s">
        <v>126</v>
      </c>
      <c r="F9" t="s">
        <v>177</v>
      </c>
      <c r="G9" t="s">
        <v>177</v>
      </c>
      <c r="H9">
        <v>1</v>
      </c>
      <c r="I9">
        <v>99999</v>
      </c>
      <c r="J9">
        <v>1</v>
      </c>
      <c r="K9" t="s">
        <v>120</v>
      </c>
    </row>
    <row r="10" spans="1:11" x14ac:dyDescent="0.25">
      <c r="B10" t="s">
        <v>7</v>
      </c>
      <c r="C10">
        <v>40</v>
      </c>
      <c r="D10" t="s">
        <v>7</v>
      </c>
      <c r="E10" t="s">
        <v>134</v>
      </c>
      <c r="F10" t="s">
        <v>177</v>
      </c>
      <c r="G10" t="s">
        <v>177</v>
      </c>
      <c r="H10">
        <v>1</v>
      </c>
      <c r="I10">
        <v>99999</v>
      </c>
      <c r="J10">
        <v>1</v>
      </c>
      <c r="K10" t="s">
        <v>120</v>
      </c>
    </row>
    <row r="11" spans="1:11" x14ac:dyDescent="0.25">
      <c r="B11" t="s">
        <v>7</v>
      </c>
      <c r="C11">
        <v>40</v>
      </c>
      <c r="D11" t="s">
        <v>7</v>
      </c>
      <c r="E11" t="s">
        <v>141</v>
      </c>
      <c r="F11" t="s">
        <v>177</v>
      </c>
      <c r="G11" t="s">
        <v>177</v>
      </c>
      <c r="H11">
        <v>1</v>
      </c>
      <c r="I11">
        <v>99999</v>
      </c>
      <c r="J11">
        <v>15</v>
      </c>
      <c r="K11" t="s">
        <v>120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9222D-C1E4-4523-957E-15F8E4208668}">
  <sheetPr codeName="Sheet5"/>
  <dimension ref="A1:E3"/>
  <sheetViews>
    <sheetView workbookViewId="0">
      <selection sqref="A1:XFD1048576"/>
    </sheetView>
  </sheetViews>
  <sheetFormatPr defaultRowHeight="15" x14ac:dyDescent="0.25"/>
  <cols>
    <col min="1" max="1" width="8" style="2" bestFit="1" customWidth="1"/>
    <col min="2" max="2" width="20.7109375" style="2" bestFit="1" customWidth="1"/>
    <col min="3" max="3" width="12" style="2" bestFit="1" customWidth="1"/>
    <col min="4" max="4" width="23.5703125" style="2" bestFit="1" customWidth="1"/>
    <col min="5" max="5" width="4.5703125" style="2" bestFit="1" customWidth="1"/>
    <col min="6" max="16384" width="9.140625" style="2"/>
  </cols>
  <sheetData>
    <row r="1" spans="1:5" s="3" customFormat="1" x14ac:dyDescent="0.25">
      <c r="A1" s="3" t="s">
        <v>119</v>
      </c>
      <c r="B1" s="3" t="s">
        <v>108</v>
      </c>
      <c r="C1" s="3" t="s">
        <v>109</v>
      </c>
      <c r="D1" s="3" t="s">
        <v>125</v>
      </c>
      <c r="E1" s="3" t="s">
        <v>16</v>
      </c>
    </row>
    <row r="2" spans="1:5" x14ac:dyDescent="0.25">
      <c r="A2" s="2">
        <v>40</v>
      </c>
      <c r="B2" s="2" t="s">
        <v>7</v>
      </c>
      <c r="C2" s="2" t="s">
        <v>126</v>
      </c>
      <c r="D2" s="2" t="s">
        <v>176</v>
      </c>
      <c r="E2" s="2">
        <v>1</v>
      </c>
    </row>
    <row r="3" spans="1:5" x14ac:dyDescent="0.25">
      <c r="A3" s="2">
        <v>40</v>
      </c>
      <c r="B3" s="2" t="s">
        <v>7</v>
      </c>
      <c r="C3" s="2" t="s">
        <v>17</v>
      </c>
      <c r="D3" s="2" t="s">
        <v>7</v>
      </c>
      <c r="E3" s="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5A71E-A76C-46B2-A0DE-83964497041F}">
  <sheetPr codeName="Sheet6"/>
  <dimension ref="A1:F3"/>
  <sheetViews>
    <sheetView zoomScale="115" zoomScaleNormal="115" workbookViewId="0">
      <selection activeCell="D7" sqref="D7"/>
    </sheetView>
  </sheetViews>
  <sheetFormatPr defaultRowHeight="15" x14ac:dyDescent="0.25"/>
  <cols>
    <col min="1" max="1" width="25.42578125" bestFit="1" customWidth="1"/>
    <col min="2" max="6" width="23.28515625" customWidth="1"/>
  </cols>
  <sheetData>
    <row r="1" spans="1:6" ht="86.25" customHeight="1" thickBot="1" x14ac:dyDescent="0.3">
      <c r="A1" s="30"/>
      <c r="B1" s="30"/>
      <c r="C1" s="31" t="s">
        <v>165</v>
      </c>
      <c r="D1" s="32"/>
      <c r="E1" s="32"/>
      <c r="F1" s="33"/>
    </row>
    <row r="2" spans="1:6" ht="15.75" thickBot="1" x14ac:dyDescent="0.3">
      <c r="A2" s="11" t="s">
        <v>163</v>
      </c>
      <c r="B2" s="12" t="s">
        <v>161</v>
      </c>
      <c r="C2" s="13" t="s">
        <v>164</v>
      </c>
      <c r="D2" s="13" t="s">
        <v>0</v>
      </c>
      <c r="E2" s="13" t="s">
        <v>2</v>
      </c>
      <c r="F2" s="14" t="s">
        <v>11</v>
      </c>
    </row>
    <row r="3" spans="1:6" x14ac:dyDescent="0.25">
      <c r="A3" s="8"/>
      <c r="B3" s="8"/>
      <c r="C3" s="8"/>
      <c r="D3" s="8"/>
      <c r="E3" s="8"/>
      <c r="F3" s="8"/>
    </row>
  </sheetData>
  <mergeCells count="2">
    <mergeCell ref="A1:B1"/>
    <mergeCell ref="C1:F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pull_data">
                <anchor>
                  <from>
                    <xdr:col>0</xdr:col>
                    <xdr:colOff>257175</xdr:colOff>
                    <xdr:row>0</xdr:row>
                    <xdr:rowOff>276225</xdr:rowOff>
                  </from>
                  <to>
                    <xdr:col>0</xdr:col>
                    <xdr:colOff>1428750</xdr:colOff>
                    <xdr:row>0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5" name="Button 5">
              <controlPr defaultSize="0" print="0" autoFill="0" autoPict="0" macro="[0]!clear_list">
                <anchor>
                  <from>
                    <xdr:col>1</xdr:col>
                    <xdr:colOff>133350</xdr:colOff>
                    <xdr:row>0</xdr:row>
                    <xdr:rowOff>285750</xdr:rowOff>
                  </from>
                  <to>
                    <xdr:col>1</xdr:col>
                    <xdr:colOff>1304925</xdr:colOff>
                    <xdr:row>0</xdr:row>
                    <xdr:rowOff>914400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ADAPTOR</vt:lpstr>
      <vt:lpstr>Error Log</vt:lpstr>
      <vt:lpstr>Example</vt:lpstr>
      <vt:lpstr>P2P</vt:lpstr>
      <vt:lpstr>BOM</vt:lpstr>
      <vt:lpstr>ID</vt:lpstr>
      <vt:lpstr>Adaptor Label</vt:lpstr>
      <vt:lpstr>DRAWING</vt:lpstr>
      <vt:lpstr>First Sheet</vt:lpstr>
      <vt:lpstr>Step Distribution</vt:lpstr>
      <vt:lpstr>Ref Des</vt:lpstr>
      <vt:lpstr>Connector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Kürşad Cebeci</dc:creator>
  <cp:lastModifiedBy>Kürşad Cebeci</cp:lastModifiedBy>
  <dcterms:created xsi:type="dcterms:W3CDTF">2015-06-05T18:17:20Z</dcterms:created>
  <dcterms:modified xsi:type="dcterms:W3CDTF">2023-02-11T16:29:00Z</dcterms:modified>
</cp:coreProperties>
</file>