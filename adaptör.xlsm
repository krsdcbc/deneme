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727A1BF2-A8F0-4AAB-AC1A-024A54F1CE0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DAPTOR" sheetId="1" r:id="rId1"/>
    <sheet name="P2P" sheetId="28" r:id="rId2"/>
    <sheet name="BOM" sheetId="25" r:id="rId3"/>
    <sheet name="ID" sheetId="27" r:id="rId4"/>
    <sheet name="Adaptor Label" sheetId="16" r:id="rId5"/>
    <sheet name="DRAWING" sheetId="3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I7" i="1" s="1"/>
  <c r="I6" i="1"/>
  <c r="H6" i="1"/>
  <c r="H3" i="1"/>
  <c r="H5" i="1"/>
  <c r="H4" i="1"/>
  <c r="I3" i="1" s="1"/>
  <c r="I4" i="1" l="1"/>
  <c r="I5" i="1"/>
</calcChain>
</file>

<file path=xl/sharedStrings.xml><?xml version="1.0" encoding="utf-8"?>
<sst xmlns="http://schemas.openxmlformats.org/spreadsheetml/2006/main" count="644" uniqueCount="196">
  <si>
    <t>D369</t>
  </si>
  <si>
    <t>Pin Arrangment</t>
  </si>
  <si>
    <t>Numerical</t>
  </si>
  <si>
    <t>Pin Group</t>
  </si>
  <si>
    <t>Adaptor Group</t>
  </si>
  <si>
    <t>BCK Pin</t>
  </si>
  <si>
    <t>Total Pin</t>
  </si>
  <si>
    <t>Adapor Pin</t>
  </si>
  <si>
    <t>Adaptor Name</t>
  </si>
  <si>
    <t>HRN_TST_ADP_650/01</t>
  </si>
  <si>
    <t>Proje</t>
  </si>
  <si>
    <t>ATK</t>
  </si>
  <si>
    <t>Backshell PN</t>
  </si>
  <si>
    <t>Contact</t>
  </si>
  <si>
    <t>A-D</t>
  </si>
  <si>
    <t>ITEM6-1</t>
  </si>
  <si>
    <t>ITEM6-2</t>
  </si>
  <si>
    <t>ITEM6-3</t>
  </si>
  <si>
    <t>ITEM6-4</t>
  </si>
  <si>
    <t>ITEM6-5</t>
  </si>
  <si>
    <t>ITEM6-6</t>
  </si>
  <si>
    <t>ITEM6-7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</si>
  <si>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</si>
  <si>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</si>
  <si>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</si>
  <si>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</si>
  <si>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</si>
  <si>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</si>
  <si>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</si>
  <si>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</si>
  <si>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</si>
  <si>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</si>
  <si>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</si>
  <si>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</si>
  <si>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</si>
  <si>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</si>
  <si>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</si>
  <si>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</si>
  <si>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</si>
  <si>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</si>
  <si>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</si>
  <si>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</si>
  <si>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</si>
  <si>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</si>
  <si>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</si>
  <si>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CM-SCEC-TP-1/4-4H-4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</si>
  <si>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</si>
  <si>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</si>
  <si>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</si>
  <si>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</si>
  <si>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</si>
  <si>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</si>
  <si>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</si>
  <si>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</si>
  <si>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</si>
  <si>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</si>
  <si>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</si>
  <si>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</si>
  <si>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</si>
  <si>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</si>
  <si>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</si>
  <si>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</si>
  <si>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</si>
  <si>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</si>
  <si>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</si>
  <si>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</si>
  <si>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</si>
  <si>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</si>
  <si>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</si>
  <si>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</si>
  <si>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</si>
  <si>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</si>
  <si>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</si>
  <si>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</si>
  <si>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</si>
  <si>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</si>
  <si>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</si>
  <si>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</si>
  <si>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</si>
  <si>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</si>
  <si>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</si>
  <si>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</si>
  <si>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</si>
  <si>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</si>
  <si>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</si>
  <si>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</si>
  <si>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</si>
  <si>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</si>
  <si>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</si>
  <si>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</si>
  <si>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</si>
  <si>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</si>
  <si>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</si>
  <si>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</si>
  <si>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</si>
  <si>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</si>
  <si>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</si>
  <si>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</si>
  <si>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</si>
  <si>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</si>
  <si>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</si>
  <si>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</si>
  <si>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</si>
  <si>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</si>
  <si>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</si>
  <si>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</si>
  <si>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</si>
  <si>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</si>
  <si>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</si>
  <si>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</si>
  <si>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</si>
  <si>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</si>
  <si>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X</t>
  </si>
  <si>
    <t>Y</t>
  </si>
  <si>
    <t>Z</t>
  </si>
  <si>
    <t>ITEM5-BCK</t>
  </si>
  <si>
    <t>ITEM6-BCK</t>
  </si>
  <si>
    <t>Adaptor gruplarına 0'dan başla! İlk 2 Column'a dokunma!</t>
  </si>
  <si>
    <t>ITEM6-8</t>
  </si>
  <si>
    <t>ac</t>
  </si>
  <si>
    <t>ym</t>
  </si>
  <si>
    <t>can be
empty</t>
  </si>
  <si>
    <t>ADAP1</t>
  </si>
  <si>
    <t>ADAP2</t>
  </si>
  <si>
    <t>ATK
TEST ADAPTOR CABLE</t>
  </si>
  <si>
    <t>Connector Name</t>
  </si>
  <si>
    <t>Contact Qty</t>
  </si>
  <si>
    <t>d38</t>
  </si>
  <si>
    <t>xx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</si>
  <si>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</si>
  <si>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</si>
  <si>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</si>
  <si>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</si>
  <si>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</si>
  <si>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</si>
  <si>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</si>
  <si>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</si>
  <si>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</si>
  <si>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</si>
  <si>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</si>
  <si>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</si>
  <si>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</si>
  <si>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</si>
  <si>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</si>
  <si>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</si>
  <si>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LABEL PN</t>
  </si>
  <si>
    <t>CONNECTOR PN</t>
  </si>
  <si>
    <t>HRN_TST_ADP_651/01</t>
  </si>
  <si>
    <t>M</t>
  </si>
  <si>
    <t>AAAA</t>
  </si>
  <si>
    <t>BBBB</t>
  </si>
  <si>
    <t>CD</t>
  </si>
  <si>
    <t>FF</t>
  </si>
  <si>
    <t>ITEM5-A</t>
  </si>
  <si>
    <t>ITEM5-B</t>
  </si>
  <si>
    <t>ITEM5-C</t>
  </si>
  <si>
    <t>ITEM5-D</t>
  </si>
  <si>
    <t>ITEM5-E</t>
  </si>
  <si>
    <t>ITEM5-F</t>
  </si>
  <si>
    <t>ITEM5-G</t>
  </si>
  <si>
    <t>ITEM5-H</t>
  </si>
  <si>
    <t>ITEM5-I</t>
  </si>
  <si>
    <t>ITEM5-J</t>
  </si>
  <si>
    <t>ITEM5-K</t>
  </si>
  <si>
    <t>ITEM5-L</t>
  </si>
  <si>
    <t>ITEM5-M</t>
  </si>
  <si>
    <t>ITEM5-N</t>
  </si>
  <si>
    <t>ITEM5-O</t>
  </si>
  <si>
    <t>ITEM5-P</t>
  </si>
  <si>
    <t>ITEM5-Q</t>
  </si>
  <si>
    <t>ITEM5-R</t>
  </si>
  <si>
    <t>ITEM5-S</t>
  </si>
  <si>
    <t>ITEM5-T</t>
  </si>
  <si>
    <t>ITEM5-U</t>
  </si>
  <si>
    <t>ITEM5-V</t>
  </si>
  <si>
    <t>ITEM5-W</t>
  </si>
  <si>
    <t>ITEM5-X</t>
  </si>
  <si>
    <t>ITEM5-Y</t>
  </si>
  <si>
    <t>ITEM5-Z</t>
  </si>
  <si>
    <t>ITEM5-AA</t>
  </si>
  <si>
    <t>ITEM5-BB</t>
  </si>
  <si>
    <t>ITEM5-CC</t>
  </si>
  <si>
    <t>ITEM5-DD</t>
  </si>
  <si>
    <t>ITEM6-25</t>
  </si>
  <si>
    <t>ITEM6-26</t>
  </si>
  <si>
    <t>ITEM6-27</t>
  </si>
  <si>
    <t>ITEM6-28</t>
  </si>
  <si>
    <t>ITEM6-29</t>
  </si>
  <si>
    <t>ITEM6-30</t>
  </si>
  <si>
    <t>ITEM6-31</t>
  </si>
  <si>
    <t>ITEM6-32</t>
  </si>
  <si>
    <t>ITEM6-33</t>
  </si>
  <si>
    <t>ITEM6-34</t>
  </si>
  <si>
    <t>ITEM6-35</t>
  </si>
  <si>
    <t>HRN_TST_ADP_651/01-01</t>
  </si>
  <si>
    <t>HRN_TST_ADP_651/01-02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</si>
</sst>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0</xdr:row>
          <xdr:rowOff>180975</xdr:rowOff>
        </xdr:from>
        <xdr:to>
          <xdr:col>1</xdr:col>
          <xdr:colOff>1171575</xdr:colOff>
          <xdr:row>0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tabSelected="1" workbookViewId="0">
      <pane ySplit="1" topLeftCell="A2" activePane="bottomLeft" state="frozen"/>
      <selection pane="bottomLeft" activeCell="C13" sqref="C13"/>
    </sheetView>
  </sheetViews>
  <sheetFormatPr defaultRowHeight="15" x14ac:dyDescent="0.25"/>
  <cols>
    <col min="1" max="1" width="9.140625" style="1"/>
    <col min="2" max="2" width="20.7109375" style="1" bestFit="1" customWidth="1"/>
    <col min="3" max="3" width="14.140625" style="1" bestFit="1" customWidth="1"/>
    <col min="4" max="5" width="21.85546875" style="1" customWidth="1"/>
    <col min="6" max="6" width="12.7109375" style="1" bestFit="1" customWidth="1"/>
    <col min="7" max="8" width="10.42578125" style="1" customWidth="1"/>
    <col min="9" max="9" width="10.7109375" style="1" bestFit="1" customWidth="1"/>
    <col min="10" max="10" width="15" style="1" bestFit="1" customWidth="1"/>
    <col min="11" max="11" width="9.7109375" style="1" bestFit="1" customWidth="1"/>
    <col min="12" max="12" width="13.85546875" style="1" customWidth="1"/>
    <col min="13" max="16384" width="9.140625" style="1"/>
  </cols>
  <sheetData>
    <row r="1" spans="1:12" ht="59.25" customHeight="1" x14ac:dyDescent="0.25">
      <c r="A1" s="4"/>
      <c r="B1" s="7"/>
      <c r="C1" s="4"/>
      <c r="D1" s="4" t="s">
        <v>117</v>
      </c>
      <c r="E1" s="4"/>
      <c r="F1" s="4"/>
      <c r="H1" s="3" t="s">
        <v>121</v>
      </c>
      <c r="I1" s="3" t="s">
        <v>121</v>
      </c>
    </row>
    <row r="2" spans="1:12" x14ac:dyDescent="0.25">
      <c r="A2" s="6" t="s">
        <v>10</v>
      </c>
      <c r="B2" s="6" t="s">
        <v>8</v>
      </c>
      <c r="C2" s="6" t="s">
        <v>4</v>
      </c>
      <c r="D2" s="6" t="s">
        <v>125</v>
      </c>
      <c r="E2" s="6" t="s">
        <v>12</v>
      </c>
      <c r="F2" s="6" t="s">
        <v>126</v>
      </c>
      <c r="G2" s="6" t="s">
        <v>5</v>
      </c>
      <c r="H2" s="6" t="s">
        <v>6</v>
      </c>
      <c r="I2" s="6" t="s">
        <v>7</v>
      </c>
      <c r="J2" s="6" t="s">
        <v>1</v>
      </c>
      <c r="K2" s="6" t="s">
        <v>3</v>
      </c>
      <c r="L2" s="6" t="s">
        <v>13</v>
      </c>
    </row>
    <row r="3" spans="1:12" x14ac:dyDescent="0.25">
      <c r="A3" s="2" t="s">
        <v>11</v>
      </c>
      <c r="B3" s="2" t="s">
        <v>9</v>
      </c>
      <c r="C3" s="2">
        <v>0</v>
      </c>
      <c r="D3" s="2" t="s">
        <v>0</v>
      </c>
      <c r="E3" s="2" t="s">
        <v>119</v>
      </c>
      <c r="F3" s="2">
        <v>12</v>
      </c>
      <c r="G3" s="2">
        <v>1</v>
      </c>
      <c r="H3" s="2">
        <f>F3+G3</f>
        <v>13</v>
      </c>
      <c r="I3" s="2">
        <f>SUMIF(C:C,C3,H:H)</f>
        <v>49</v>
      </c>
      <c r="J3" s="2" t="s">
        <v>2</v>
      </c>
      <c r="K3" s="2">
        <v>0</v>
      </c>
      <c r="L3" s="2" t="s">
        <v>112</v>
      </c>
    </row>
    <row r="4" spans="1:12" x14ac:dyDescent="0.25">
      <c r="A4" s="2" t="s">
        <v>11</v>
      </c>
      <c r="B4" s="2" t="s">
        <v>9</v>
      </c>
      <c r="C4" s="2">
        <v>0</v>
      </c>
      <c r="D4" s="2" t="s">
        <v>127</v>
      </c>
      <c r="E4" s="2" t="s">
        <v>128</v>
      </c>
      <c r="F4" s="2">
        <v>24</v>
      </c>
      <c r="G4" s="2">
        <v>1</v>
      </c>
      <c r="H4" s="2">
        <f>F4+G4</f>
        <v>25</v>
      </c>
      <c r="I4" s="2">
        <f>SUMIF(C:C,C4,H:H)</f>
        <v>49</v>
      </c>
      <c r="J4" s="2" t="s">
        <v>2</v>
      </c>
      <c r="K4" s="2">
        <v>0</v>
      </c>
      <c r="L4" s="2" t="s">
        <v>113</v>
      </c>
    </row>
    <row r="5" spans="1:12" x14ac:dyDescent="0.25">
      <c r="A5" s="2" t="s">
        <v>11</v>
      </c>
      <c r="B5" s="2" t="s">
        <v>9</v>
      </c>
      <c r="C5" s="2">
        <v>0</v>
      </c>
      <c r="D5" s="2">
        <v>801</v>
      </c>
      <c r="E5" s="2" t="s">
        <v>120</v>
      </c>
      <c r="F5" s="2">
        <v>10</v>
      </c>
      <c r="G5" s="2">
        <v>1</v>
      </c>
      <c r="H5" s="2">
        <f>F5+G5</f>
        <v>11</v>
      </c>
      <c r="I5" s="2">
        <f>SUMIF(C:C,C5,H:H)</f>
        <v>49</v>
      </c>
      <c r="J5" s="2" t="s">
        <v>14</v>
      </c>
      <c r="K5" s="2">
        <v>0</v>
      </c>
      <c r="L5" s="2" t="s">
        <v>114</v>
      </c>
    </row>
    <row r="6" spans="1:12" x14ac:dyDescent="0.25">
      <c r="A6" s="2" t="s">
        <v>11</v>
      </c>
      <c r="B6" s="2" t="s">
        <v>147</v>
      </c>
      <c r="C6" s="2">
        <v>1</v>
      </c>
      <c r="D6" s="2" t="s">
        <v>149</v>
      </c>
      <c r="E6" s="2" t="s">
        <v>151</v>
      </c>
      <c r="F6" s="2">
        <v>30</v>
      </c>
      <c r="G6" s="2">
        <v>1</v>
      </c>
      <c r="H6" s="2">
        <f>F6+G6</f>
        <v>31</v>
      </c>
      <c r="I6" s="2">
        <f>SUMIF(C:C,C6,H:H)</f>
        <v>67</v>
      </c>
      <c r="J6" s="2" t="s">
        <v>14</v>
      </c>
      <c r="K6" s="2">
        <v>0</v>
      </c>
      <c r="L6" s="2" t="s">
        <v>148</v>
      </c>
    </row>
    <row r="7" spans="1:12" x14ac:dyDescent="0.25">
      <c r="A7" s="2" t="s">
        <v>11</v>
      </c>
      <c r="B7" s="2" t="s">
        <v>147</v>
      </c>
      <c r="C7" s="2">
        <v>1</v>
      </c>
      <c r="D7" s="2" t="s">
        <v>150</v>
      </c>
      <c r="E7" s="2" t="s">
        <v>152</v>
      </c>
      <c r="F7" s="2">
        <v>35</v>
      </c>
      <c r="G7" s="2">
        <v>1</v>
      </c>
      <c r="H7" s="2">
        <f>F7+G7</f>
        <v>36</v>
      </c>
      <c r="I7" s="2">
        <f>SUMIF(C:C,C7,H:H)</f>
        <v>67</v>
      </c>
      <c r="J7" s="2" t="s">
        <v>2</v>
      </c>
      <c r="K7" s="2">
        <v>0</v>
      </c>
      <c r="L7" s="2" t="s">
        <v>148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1</xdr:col>
                    <xdr:colOff>219075</xdr:colOff>
                    <xdr:row>0</xdr:row>
                    <xdr:rowOff>180975</xdr:rowOff>
                  </from>
                  <to>
                    <xdr:col>1</xdr:col>
                    <xdr:colOff>1171575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X11"/>
  <sheetViews>
    <sheetView workbookViewId="0">
      <selection activeCell="P17" sqref="P17"/>
    </sheetView>
  </sheetViews>
  <sheetFormatPr defaultRowHeight="15" x14ac:dyDescent="0.25"/>
  <cols>
    <col min="1" max="1" width="3.5703125" bestFit="1" customWidth="1"/>
    <col min="2" max="2" width="8.28515625" bestFit="1" customWidth="1"/>
    <col min="3" max="3" width="4.28515625" bestFit="1" customWidth="1"/>
    <col min="4" max="4" width="8.7109375" bestFit="1" customWidth="1"/>
    <col min="5" max="5" width="3.85546875" bestFit="1" customWidth="1"/>
    <col min="6" max="6" width="9.5703125" bestFit="1" customWidth="1"/>
    <col min="7" max="7" width="3.85546875" bestFit="1" customWidth="1"/>
    <col min="8" max="8" width="10.42578125" bestFit="1" customWidth="1"/>
    <col min="9" max="9" width="3.85546875" bestFit="1" customWidth="1"/>
    <col min="10" max="10" width="9" bestFit="1" customWidth="1"/>
    <col min="11" max="11" width="3.85546875" bestFit="1" customWidth="1"/>
    <col min="12" max="12" width="9" bestFit="1" customWidth="1"/>
    <col min="13" max="13" width="3.5703125" bestFit="1" customWidth="1"/>
    <col min="14" max="14" width="10.42578125" bestFit="1" customWidth="1"/>
    <col min="15" max="15" width="4.28515625" bestFit="1" customWidth="1"/>
    <col min="17" max="17" width="3.85546875" bestFit="1" customWidth="1"/>
    <col min="19" max="19" width="3.85546875" bestFit="1" customWidth="1"/>
    <col min="21" max="21" width="3.85546875" bestFit="1" customWidth="1"/>
    <col min="23" max="23" width="3.85546875" bestFit="1" customWidth="1"/>
  </cols>
  <sheetData>
    <row r="1" spans="1:24" x14ac:dyDescent="0.25">
      <c r="A1" s="5" t="s">
        <v>106</v>
      </c>
      <c r="B1" s="5"/>
      <c r="C1" s="5" t="s">
        <v>107</v>
      </c>
      <c r="D1" s="5"/>
      <c r="E1" s="5" t="s">
        <v>108</v>
      </c>
      <c r="F1" s="5"/>
      <c r="G1" s="5" t="s">
        <v>109</v>
      </c>
      <c r="H1" s="5"/>
      <c r="I1" s="5" t="s">
        <v>110</v>
      </c>
      <c r="J1" s="5"/>
      <c r="K1" s="5" t="s">
        <v>111</v>
      </c>
      <c r="L1" s="5"/>
      <c r="M1" s="5" t="s">
        <v>106</v>
      </c>
      <c r="N1" s="5"/>
      <c r="O1" s="5" t="s">
        <v>107</v>
      </c>
      <c r="P1" s="5"/>
      <c r="Q1" s="5" t="s">
        <v>108</v>
      </c>
      <c r="R1" s="5"/>
      <c r="S1" s="5" t="s">
        <v>109</v>
      </c>
      <c r="T1" s="5"/>
      <c r="U1" s="5" t="s">
        <v>110</v>
      </c>
      <c r="V1" s="5"/>
      <c r="W1" s="5" t="s">
        <v>111</v>
      </c>
      <c r="X1" s="5"/>
    </row>
    <row r="2" spans="1:24" x14ac:dyDescent="0.25">
      <c r="A2" s="5" t="s">
        <v>46</v>
      </c>
      <c r="B2" s="5" t="s">
        <v>153</v>
      </c>
      <c r="C2" s="5" t="s">
        <v>56</v>
      </c>
      <c r="D2" s="5" t="s">
        <v>163</v>
      </c>
      <c r="E2" s="5" t="s">
        <v>66</v>
      </c>
      <c r="F2" s="5" t="s">
        <v>173</v>
      </c>
      <c r="G2" s="5" t="s">
        <v>71</v>
      </c>
      <c r="H2" s="5" t="s">
        <v>115</v>
      </c>
      <c r="I2" s="5" t="s">
        <v>89</v>
      </c>
      <c r="J2" s="5" t="s">
        <v>130</v>
      </c>
      <c r="K2" s="5" t="s">
        <v>97</v>
      </c>
      <c r="L2" s="5" t="s">
        <v>140</v>
      </c>
      <c r="M2" s="5" t="s">
        <v>46</v>
      </c>
      <c r="N2" s="5" t="s">
        <v>188</v>
      </c>
      <c r="O2" s="5" t="s">
        <v>56</v>
      </c>
      <c r="P2" s="5"/>
      <c r="Q2" s="5" t="s">
        <v>66</v>
      </c>
      <c r="R2" s="5"/>
      <c r="S2" s="5" t="s">
        <v>71</v>
      </c>
      <c r="T2" s="5"/>
      <c r="U2" s="5" t="s">
        <v>89</v>
      </c>
      <c r="V2" s="5"/>
      <c r="W2" s="5" t="s">
        <v>97</v>
      </c>
      <c r="X2" s="5"/>
    </row>
    <row r="3" spans="1:24" x14ac:dyDescent="0.25">
      <c r="A3" s="5" t="s">
        <v>47</v>
      </c>
      <c r="B3" s="5" t="s">
        <v>154</v>
      </c>
      <c r="C3" s="5" t="s">
        <v>57</v>
      </c>
      <c r="D3" s="5" t="s">
        <v>164</v>
      </c>
      <c r="E3" s="5" t="s">
        <v>67</v>
      </c>
      <c r="F3" s="5" t="s">
        <v>174</v>
      </c>
      <c r="G3" s="5" t="s">
        <v>81</v>
      </c>
      <c r="H3" s="5" t="s">
        <v>15</v>
      </c>
      <c r="I3" s="5" t="s">
        <v>90</v>
      </c>
      <c r="J3" s="5" t="s">
        <v>131</v>
      </c>
      <c r="K3" s="5" t="s">
        <v>98</v>
      </c>
      <c r="L3" s="5" t="s">
        <v>141</v>
      </c>
      <c r="M3" s="5" t="s">
        <v>47</v>
      </c>
      <c r="N3" s="5" t="s">
        <v>189</v>
      </c>
      <c r="O3" s="5" t="s">
        <v>57</v>
      </c>
      <c r="P3" s="5"/>
      <c r="Q3" s="5" t="s">
        <v>67</v>
      </c>
      <c r="R3" s="5"/>
      <c r="S3" s="5" t="s">
        <v>81</v>
      </c>
      <c r="T3" s="5"/>
      <c r="U3" s="5" t="s">
        <v>90</v>
      </c>
      <c r="V3" s="5"/>
      <c r="W3" s="5" t="s">
        <v>98</v>
      </c>
      <c r="X3" s="5"/>
    </row>
    <row r="4" spans="1:24" x14ac:dyDescent="0.25">
      <c r="A4" s="5" t="s">
        <v>48</v>
      </c>
      <c r="B4" s="5" t="s">
        <v>155</v>
      </c>
      <c r="C4" s="5" t="s">
        <v>58</v>
      </c>
      <c r="D4" s="5" t="s">
        <v>165</v>
      </c>
      <c r="E4" s="5" t="s">
        <v>68</v>
      </c>
      <c r="F4" s="5" t="s">
        <v>175</v>
      </c>
      <c r="G4" s="5" t="s">
        <v>82</v>
      </c>
      <c r="H4" s="5" t="s">
        <v>16</v>
      </c>
      <c r="I4" s="5" t="s">
        <v>73</v>
      </c>
      <c r="J4" s="5" t="s">
        <v>132</v>
      </c>
      <c r="K4" s="5" t="s">
        <v>99</v>
      </c>
      <c r="L4" s="5" t="s">
        <v>142</v>
      </c>
      <c r="M4" s="5" t="s">
        <v>48</v>
      </c>
      <c r="N4" s="5" t="s">
        <v>190</v>
      </c>
      <c r="O4" s="5" t="s">
        <v>58</v>
      </c>
      <c r="P4" s="5"/>
      <c r="Q4" s="5" t="s">
        <v>68</v>
      </c>
      <c r="R4" s="5"/>
      <c r="S4" s="5" t="s">
        <v>82</v>
      </c>
      <c r="T4" s="5"/>
      <c r="U4" s="5" t="s">
        <v>73</v>
      </c>
      <c r="V4" s="5"/>
      <c r="W4" s="5" t="s">
        <v>99</v>
      </c>
      <c r="X4" s="5"/>
    </row>
    <row r="5" spans="1:24" x14ac:dyDescent="0.25">
      <c r="A5" s="5" t="s">
        <v>49</v>
      </c>
      <c r="B5" s="5" t="s">
        <v>156</v>
      </c>
      <c r="C5" s="5" t="s">
        <v>59</v>
      </c>
      <c r="D5" s="5" t="s">
        <v>166</v>
      </c>
      <c r="E5" s="5" t="s">
        <v>69</v>
      </c>
      <c r="F5" s="5" t="s">
        <v>176</v>
      </c>
      <c r="G5" s="5" t="s">
        <v>83</v>
      </c>
      <c r="H5" s="5" t="s">
        <v>17</v>
      </c>
      <c r="I5" s="5" t="s">
        <v>91</v>
      </c>
      <c r="J5" s="5" t="s">
        <v>133</v>
      </c>
      <c r="K5" s="5" t="s">
        <v>100</v>
      </c>
      <c r="L5" s="5" t="s">
        <v>143</v>
      </c>
      <c r="M5" s="5" t="s">
        <v>49</v>
      </c>
      <c r="N5" s="5" t="s">
        <v>191</v>
      </c>
      <c r="O5" s="5" t="s">
        <v>59</v>
      </c>
      <c r="P5" s="5"/>
      <c r="Q5" s="5" t="s">
        <v>69</v>
      </c>
      <c r="R5" s="5"/>
      <c r="S5" s="5" t="s">
        <v>83</v>
      </c>
      <c r="T5" s="5"/>
      <c r="U5" s="5" t="s">
        <v>91</v>
      </c>
      <c r="V5" s="5"/>
      <c r="W5" s="5" t="s">
        <v>100</v>
      </c>
      <c r="X5" s="5"/>
    </row>
    <row r="6" spans="1:24" x14ac:dyDescent="0.25">
      <c r="A6" s="5" t="s">
        <v>50</v>
      </c>
      <c r="B6" s="5" t="s">
        <v>157</v>
      </c>
      <c r="C6" s="5" t="s">
        <v>60</v>
      </c>
      <c r="D6" s="5" t="s">
        <v>167</v>
      </c>
      <c r="E6" s="5" t="s">
        <v>70</v>
      </c>
      <c r="F6" s="5" t="s">
        <v>177</v>
      </c>
      <c r="G6" s="5" t="s">
        <v>84</v>
      </c>
      <c r="H6" s="5" t="s">
        <v>18</v>
      </c>
      <c r="I6" s="5" t="s">
        <v>92</v>
      </c>
      <c r="J6" s="5" t="s">
        <v>134</v>
      </c>
      <c r="K6" s="5" t="s">
        <v>75</v>
      </c>
      <c r="L6" s="5" t="s">
        <v>144</v>
      </c>
      <c r="M6" s="5" t="s">
        <v>50</v>
      </c>
      <c r="N6" s="5" t="s">
        <v>192</v>
      </c>
      <c r="O6" s="5" t="s">
        <v>60</v>
      </c>
      <c r="P6" s="5"/>
      <c r="Q6" s="5" t="s">
        <v>70</v>
      </c>
      <c r="R6" s="5"/>
      <c r="S6" s="5" t="s">
        <v>84</v>
      </c>
      <c r="T6" s="5"/>
      <c r="U6" s="5" t="s">
        <v>92</v>
      </c>
      <c r="V6" s="5"/>
      <c r="W6" s="5" t="s">
        <v>75</v>
      </c>
      <c r="X6" s="5"/>
    </row>
    <row r="7" spans="1:24" x14ac:dyDescent="0.25">
      <c r="A7" s="5" t="s">
        <v>51</v>
      </c>
      <c r="B7" s="5" t="s">
        <v>158</v>
      </c>
      <c r="C7" s="5" t="s">
        <v>61</v>
      </c>
      <c r="D7" s="5" t="s">
        <v>168</v>
      </c>
      <c r="E7" s="5" t="s">
        <v>76</v>
      </c>
      <c r="F7" s="5" t="s">
        <v>178</v>
      </c>
      <c r="G7" s="5" t="s">
        <v>85</v>
      </c>
      <c r="H7" s="5" t="s">
        <v>19</v>
      </c>
      <c r="I7" s="5" t="s">
        <v>93</v>
      </c>
      <c r="J7" s="5" t="s">
        <v>135</v>
      </c>
      <c r="K7" s="5" t="s">
        <v>101</v>
      </c>
      <c r="L7" s="5" t="s">
        <v>183</v>
      </c>
      <c r="M7" s="5" t="s">
        <v>51</v>
      </c>
      <c r="N7" s="5" t="s">
        <v>193</v>
      </c>
      <c r="O7" s="5" t="s">
        <v>61</v>
      </c>
      <c r="P7" s="5"/>
      <c r="Q7" s="5" t="s">
        <v>76</v>
      </c>
      <c r="R7" s="5"/>
      <c r="S7" s="5" t="s">
        <v>85</v>
      </c>
      <c r="T7" s="5"/>
      <c r="U7" s="5" t="s">
        <v>93</v>
      </c>
      <c r="V7" s="5"/>
      <c r="W7" s="5" t="s">
        <v>101</v>
      </c>
      <c r="X7" s="5"/>
    </row>
    <row r="8" spans="1:24" x14ac:dyDescent="0.25">
      <c r="A8" s="5" t="s">
        <v>52</v>
      </c>
      <c r="B8" s="5" t="s">
        <v>159</v>
      </c>
      <c r="C8" s="5" t="s">
        <v>62</v>
      </c>
      <c r="D8" s="5" t="s">
        <v>169</v>
      </c>
      <c r="E8" s="5" t="s">
        <v>77</v>
      </c>
      <c r="F8" s="5" t="s">
        <v>179</v>
      </c>
      <c r="G8" s="5" t="s">
        <v>72</v>
      </c>
      <c r="H8" s="5" t="s">
        <v>20</v>
      </c>
      <c r="I8" s="5" t="s">
        <v>94</v>
      </c>
      <c r="J8" s="5" t="s">
        <v>136</v>
      </c>
      <c r="K8" s="5" t="s">
        <v>102</v>
      </c>
      <c r="L8" s="5" t="s">
        <v>184</v>
      </c>
      <c r="M8" s="5" t="s">
        <v>52</v>
      </c>
      <c r="N8" s="5" t="s">
        <v>116</v>
      </c>
      <c r="O8" s="5" t="s">
        <v>62</v>
      </c>
      <c r="P8" s="5"/>
      <c r="Q8" s="5" t="s">
        <v>77</v>
      </c>
      <c r="R8" s="5"/>
      <c r="S8" s="5" t="s">
        <v>72</v>
      </c>
      <c r="T8" s="5"/>
      <c r="U8" s="5" t="s">
        <v>94</v>
      </c>
      <c r="V8" s="5"/>
      <c r="W8" s="5" t="s">
        <v>102</v>
      </c>
      <c r="X8" s="5"/>
    </row>
    <row r="9" spans="1:24" x14ac:dyDescent="0.25">
      <c r="A9" s="5" t="s">
        <v>53</v>
      </c>
      <c r="B9" s="5" t="s">
        <v>160</v>
      </c>
      <c r="C9" s="5" t="s">
        <v>63</v>
      </c>
      <c r="D9" s="5" t="s">
        <v>170</v>
      </c>
      <c r="E9" s="5" t="s">
        <v>78</v>
      </c>
      <c r="F9" s="5" t="s">
        <v>180</v>
      </c>
      <c r="G9" s="5" t="s">
        <v>86</v>
      </c>
      <c r="H9" s="5" t="s">
        <v>21</v>
      </c>
      <c r="I9" s="5" t="s">
        <v>95</v>
      </c>
      <c r="J9" s="5" t="s">
        <v>137</v>
      </c>
      <c r="K9" s="5" t="s">
        <v>103</v>
      </c>
      <c r="L9" s="5" t="s">
        <v>185</v>
      </c>
      <c r="M9" s="5" t="s">
        <v>53</v>
      </c>
      <c r="N9" s="5"/>
      <c r="O9" s="5" t="s">
        <v>63</v>
      </c>
      <c r="P9" s="5"/>
      <c r="Q9" s="5" t="s">
        <v>78</v>
      </c>
      <c r="R9" s="5"/>
      <c r="S9" s="5" t="s">
        <v>86</v>
      </c>
      <c r="T9" s="5"/>
      <c r="U9" s="5" t="s">
        <v>95</v>
      </c>
      <c r="V9" s="5"/>
      <c r="W9" s="5" t="s">
        <v>103</v>
      </c>
      <c r="X9" s="5"/>
    </row>
    <row r="10" spans="1:24" x14ac:dyDescent="0.25">
      <c r="A10" s="5" t="s">
        <v>54</v>
      </c>
      <c r="B10" s="5" t="s">
        <v>161</v>
      </c>
      <c r="C10" s="5" t="s">
        <v>64</v>
      </c>
      <c r="D10" s="5" t="s">
        <v>171</v>
      </c>
      <c r="E10" s="5" t="s">
        <v>79</v>
      </c>
      <c r="F10" s="5" t="s">
        <v>181</v>
      </c>
      <c r="G10" s="5" t="s">
        <v>87</v>
      </c>
      <c r="H10" s="5" t="s">
        <v>118</v>
      </c>
      <c r="I10" s="5" t="s">
        <v>74</v>
      </c>
      <c r="J10" s="5" t="s">
        <v>138</v>
      </c>
      <c r="K10" s="5" t="s">
        <v>104</v>
      </c>
      <c r="L10" s="5" t="s">
        <v>186</v>
      </c>
      <c r="M10" s="5" t="s">
        <v>54</v>
      </c>
      <c r="N10" s="5"/>
      <c r="O10" s="5" t="s">
        <v>64</v>
      </c>
      <c r="P10" s="5"/>
      <c r="Q10" s="5" t="s">
        <v>79</v>
      </c>
      <c r="R10" s="5"/>
      <c r="S10" s="5" t="s">
        <v>87</v>
      </c>
      <c r="T10" s="5"/>
      <c r="U10" s="5" t="s">
        <v>74</v>
      </c>
      <c r="V10" s="5"/>
      <c r="W10" s="5" t="s">
        <v>104</v>
      </c>
      <c r="X10" s="5"/>
    </row>
    <row r="11" spans="1:24" x14ac:dyDescent="0.25">
      <c r="A11" s="5" t="s">
        <v>55</v>
      </c>
      <c r="B11" s="5" t="s">
        <v>162</v>
      </c>
      <c r="C11" s="5" t="s">
        <v>65</v>
      </c>
      <c r="D11" s="5" t="s">
        <v>172</v>
      </c>
      <c r="E11" s="5" t="s">
        <v>80</v>
      </c>
      <c r="F11" s="5" t="s">
        <v>182</v>
      </c>
      <c r="G11" s="5" t="s">
        <v>88</v>
      </c>
      <c r="H11" s="5" t="s">
        <v>129</v>
      </c>
      <c r="I11" s="5" t="s">
        <v>96</v>
      </c>
      <c r="J11" s="5" t="s">
        <v>139</v>
      </c>
      <c r="K11" s="5" t="s">
        <v>105</v>
      </c>
      <c r="L11" s="5" t="s">
        <v>187</v>
      </c>
      <c r="M11" s="5" t="s">
        <v>55</v>
      </c>
      <c r="N11" s="5"/>
      <c r="O11" s="5" t="s">
        <v>65</v>
      </c>
      <c r="P11" s="5"/>
      <c r="Q11" s="5" t="s">
        <v>80</v>
      </c>
      <c r="R11" s="5"/>
      <c r="S11" s="5" t="s">
        <v>88</v>
      </c>
      <c r="T11" s="5"/>
      <c r="U11" s="5" t="s">
        <v>96</v>
      </c>
      <c r="V11" s="5"/>
      <c r="W11" s="5" t="s">
        <v>105</v>
      </c>
      <c r="X11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10" t="s">
        <v>22</v>
      </c>
      <c r="B1" s="10"/>
      <c r="C1" s="10"/>
      <c r="D1" s="10"/>
      <c r="E1" s="10"/>
      <c r="F1" s="10"/>
      <c r="G1" s="10"/>
      <c r="H1" s="10"/>
    </row>
    <row r="2" spans="1:8" x14ac:dyDescent="0.25">
      <c r="A2" s="11" t="s">
        <v>23</v>
      </c>
      <c r="B2" s="10" t="s">
        <v>24</v>
      </c>
      <c r="C2" s="10"/>
      <c r="D2" s="10"/>
      <c r="E2" s="10" t="s">
        <v>25</v>
      </c>
      <c r="F2" s="10"/>
      <c r="G2" s="10"/>
      <c r="H2" s="11" t="s">
        <v>26</v>
      </c>
    </row>
    <row r="3" spans="1:8" x14ac:dyDescent="0.25">
      <c r="A3" s="10">
        <v>1</v>
      </c>
      <c r="B3" s="10" t="s">
        <v>27</v>
      </c>
      <c r="C3" s="10"/>
      <c r="D3" s="10"/>
      <c r="E3" s="10" t="s">
        <v>28</v>
      </c>
      <c r="F3" s="10"/>
      <c r="G3" s="10"/>
      <c r="H3" s="11">
        <v>2</v>
      </c>
    </row>
    <row r="4" spans="1:8" x14ac:dyDescent="0.25">
      <c r="A4" s="10"/>
      <c r="B4" s="10" t="s">
        <v>29</v>
      </c>
      <c r="C4" s="10"/>
      <c r="D4" s="10"/>
      <c r="E4" s="10" t="s">
        <v>30</v>
      </c>
      <c r="F4" s="10"/>
      <c r="G4" s="10"/>
      <c r="H4" s="11">
        <v>2</v>
      </c>
    </row>
    <row r="5" spans="1:8" x14ac:dyDescent="0.25">
      <c r="A5" s="10"/>
      <c r="B5" s="10" t="s">
        <v>31</v>
      </c>
      <c r="C5" s="10"/>
      <c r="D5" s="10"/>
      <c r="E5" s="10" t="s">
        <v>32</v>
      </c>
      <c r="F5" s="10"/>
      <c r="G5" s="10"/>
      <c r="H5" s="11">
        <v>2</v>
      </c>
    </row>
    <row r="6" spans="1:8" x14ac:dyDescent="0.25">
      <c r="A6" s="10"/>
      <c r="B6" s="10" t="s">
        <v>33</v>
      </c>
      <c r="C6" s="10"/>
      <c r="D6" s="10"/>
      <c r="E6" s="10" t="s">
        <v>34</v>
      </c>
      <c r="F6" s="10"/>
      <c r="G6" s="10"/>
      <c r="H6" s="11">
        <v>67</v>
      </c>
    </row>
    <row r="7" spans="1:8" x14ac:dyDescent="0.25">
      <c r="A7" s="11">
        <v>2</v>
      </c>
      <c r="B7" s="10" t="s">
        <v>35</v>
      </c>
      <c r="C7" s="10"/>
      <c r="D7" s="10"/>
      <c r="E7" s="10" t="s">
        <v>36</v>
      </c>
      <c r="F7" s="10"/>
      <c r="G7" s="10"/>
      <c r="H7" s="11">
        <v>2</v>
      </c>
    </row>
    <row r="8" spans="1:8" x14ac:dyDescent="0.25">
      <c r="A8" s="11">
        <v>3</v>
      </c>
      <c r="B8" s="10" t="s">
        <v>35</v>
      </c>
      <c r="C8" s="10"/>
      <c r="D8" s="10"/>
      <c r="E8" s="10" t="s">
        <v>36</v>
      </c>
      <c r="F8" s="10"/>
      <c r="G8" s="10"/>
      <c r="H8" s="11">
        <v>2</v>
      </c>
    </row>
    <row r="9" spans="1:8" ht="15.75" customHeight="1" x14ac:dyDescent="0.25">
      <c r="A9" s="10">
        <v>4</v>
      </c>
      <c r="B9" s="10" t="s">
        <v>37</v>
      </c>
      <c r="C9" s="10"/>
      <c r="D9" s="10"/>
      <c r="E9" s="10" t="s">
        <v>39</v>
      </c>
      <c r="F9" s="10"/>
      <c r="G9" s="10"/>
      <c r="H9" s="11" t="s">
        <v>41</v>
      </c>
    </row>
    <row r="10" spans="1:8" x14ac:dyDescent="0.25">
      <c r="A10" s="10"/>
      <c r="B10" s="10" t="s">
        <v>38</v>
      </c>
      <c r="C10" s="10"/>
      <c r="D10" s="10"/>
      <c r="E10" s="10" t="s">
        <v>40</v>
      </c>
      <c r="F10" s="10"/>
      <c r="G10" s="10"/>
      <c r="H10" s="11" t="s">
        <v>41</v>
      </c>
    </row>
    <row r="11" spans="1:8" x14ac:dyDescent="0.25">
      <c r="A11" s="10">
        <v>5</v>
      </c>
      <c r="B11" s="10" t="s">
        <v>149</v>
      </c>
      <c r="C11" s="10"/>
      <c r="D11" s="10"/>
      <c r="E11" s="10" t="s">
        <v>42</v>
      </c>
      <c r="F11" s="10"/>
      <c r="G11" s="10"/>
      <c r="H11" s="11">
        <v>1</v>
      </c>
    </row>
    <row r="12" spans="1:8" x14ac:dyDescent="0.25">
      <c r="A12" s="10"/>
      <c r="B12" s="10" t="s">
        <v>151</v>
      </c>
      <c r="C12" s="10"/>
      <c r="D12" s="10"/>
      <c r="E12" s="10" t="s">
        <v>43</v>
      </c>
      <c r="F12" s="10"/>
      <c r="G12" s="10"/>
      <c r="H12" s="11">
        <v>1</v>
      </c>
    </row>
    <row r="13" spans="1:8" x14ac:dyDescent="0.25">
      <c r="A13" s="10"/>
      <c r="B13" s="10" t="s">
        <v>148</v>
      </c>
      <c r="C13" s="10"/>
      <c r="D13" s="10"/>
      <c r="E13" s="10" t="s">
        <v>34</v>
      </c>
      <c r="F13" s="10"/>
      <c r="G13" s="10"/>
      <c r="H13" s="11">
        <v>30</v>
      </c>
    </row>
    <row r="14" spans="1:8" x14ac:dyDescent="0.25">
      <c r="A14" s="10">
        <v>6</v>
      </c>
      <c r="B14" s="10" t="s">
        <v>150</v>
      </c>
      <c r="C14" s="10"/>
      <c r="D14" s="10"/>
      <c r="E14" s="10" t="s">
        <v>42</v>
      </c>
      <c r="F14" s="10"/>
      <c r="G14" s="10"/>
      <c r="H14" s="11">
        <v>1</v>
      </c>
    </row>
    <row r="15" spans="1:8" x14ac:dyDescent="0.25">
      <c r="A15" s="10"/>
      <c r="B15" s="10" t="s">
        <v>152</v>
      </c>
      <c r="C15" s="10"/>
      <c r="D15" s="10"/>
      <c r="E15" s="10" t="s">
        <v>43</v>
      </c>
      <c r="F15" s="10"/>
      <c r="G15" s="10"/>
      <c r="H15" s="11">
        <v>1</v>
      </c>
    </row>
    <row r="16" spans="1:8" x14ac:dyDescent="0.25">
      <c r="A16" s="10"/>
      <c r="B16" s="10" t="s">
        <v>148</v>
      </c>
      <c r="C16" s="10"/>
      <c r="D16" s="10"/>
      <c r="E16" s="10" t="s">
        <v>34</v>
      </c>
      <c r="F16" s="10"/>
      <c r="G16" s="10"/>
      <c r="H16" s="11">
        <v>35</v>
      </c>
    </row>
    <row r="17" spans="1:8" x14ac:dyDescent="0.25">
      <c r="A17" s="10">
        <v>7</v>
      </c>
      <c r="B17" s="10"/>
      <c r="C17" s="10"/>
      <c r="D17" s="10"/>
      <c r="E17" s="10" t="s">
        <v>42</v>
      </c>
      <c r="F17" s="10"/>
      <c r="G17" s="10"/>
      <c r="H17" s="11"/>
    </row>
    <row r="18" spans="1:8" x14ac:dyDescent="0.25">
      <c r="A18" s="10"/>
      <c r="B18" s="10"/>
      <c r="C18" s="10"/>
      <c r="D18" s="10"/>
      <c r="E18" s="10" t="s">
        <v>43</v>
      </c>
      <c r="F18" s="10"/>
      <c r="G18" s="10"/>
      <c r="H18" s="11"/>
    </row>
    <row r="19" spans="1:8" x14ac:dyDescent="0.25">
      <c r="A19" s="10"/>
      <c r="B19" s="10"/>
      <c r="C19" s="10"/>
      <c r="D19" s="10"/>
      <c r="E19" s="10" t="s">
        <v>34</v>
      </c>
      <c r="F19" s="10"/>
      <c r="G19" s="10"/>
      <c r="H19" s="11"/>
    </row>
    <row r="20" spans="1:8" x14ac:dyDescent="0.25">
      <c r="A20" s="10">
        <v>8</v>
      </c>
      <c r="B20" s="10"/>
      <c r="C20" s="10"/>
      <c r="D20" s="10"/>
      <c r="E20" s="10" t="s">
        <v>42</v>
      </c>
      <c r="F20" s="10"/>
      <c r="G20" s="10"/>
      <c r="H20" s="11"/>
    </row>
    <row r="21" spans="1:8" x14ac:dyDescent="0.25">
      <c r="A21" s="10"/>
      <c r="B21" s="10"/>
      <c r="C21" s="10"/>
      <c r="D21" s="10"/>
      <c r="E21" s="10" t="s">
        <v>43</v>
      </c>
      <c r="F21" s="10"/>
      <c r="G21" s="10"/>
      <c r="H21" s="11"/>
    </row>
    <row r="22" spans="1:8" x14ac:dyDescent="0.25">
      <c r="A22" s="10"/>
      <c r="B22" s="10"/>
      <c r="C22" s="10"/>
      <c r="D22" s="10"/>
      <c r="E22" s="10" t="s">
        <v>34</v>
      </c>
      <c r="F22" s="10"/>
      <c r="G22" s="10"/>
      <c r="H22" s="11"/>
    </row>
    <row r="23" spans="1:8" x14ac:dyDescent="0.25">
      <c r="A23" s="10">
        <v>9</v>
      </c>
      <c r="B23" s="10"/>
      <c r="C23" s="10"/>
      <c r="D23" s="10"/>
      <c r="E23" s="10" t="s">
        <v>42</v>
      </c>
      <c r="F23" s="10"/>
      <c r="G23" s="10"/>
      <c r="H23" s="11"/>
    </row>
    <row r="24" spans="1:8" x14ac:dyDescent="0.25">
      <c r="A24" s="10"/>
      <c r="B24" s="10"/>
      <c r="C24" s="10"/>
      <c r="D24" s="10"/>
      <c r="E24" s="10" t="s">
        <v>43</v>
      </c>
      <c r="F24" s="10"/>
      <c r="G24" s="10"/>
      <c r="H24" s="11"/>
    </row>
    <row r="25" spans="1:8" x14ac:dyDescent="0.25">
      <c r="A25" s="10"/>
      <c r="B25" s="10"/>
      <c r="C25" s="10"/>
      <c r="D25" s="10"/>
      <c r="E25" s="10" t="s">
        <v>34</v>
      </c>
      <c r="F25" s="10"/>
      <c r="G25" s="10"/>
      <c r="H25" s="11"/>
    </row>
    <row r="26" spans="1:8" x14ac:dyDescent="0.25">
      <c r="A26" s="10">
        <v>10</v>
      </c>
      <c r="B26" s="10"/>
      <c r="C26" s="10"/>
      <c r="D26" s="10"/>
      <c r="E26" s="10" t="s">
        <v>42</v>
      </c>
      <c r="F26" s="10"/>
      <c r="G26" s="10"/>
      <c r="H26" s="11"/>
    </row>
    <row r="27" spans="1:8" x14ac:dyDescent="0.25">
      <c r="A27" s="10"/>
      <c r="B27" s="10"/>
      <c r="C27" s="10"/>
      <c r="D27" s="10"/>
      <c r="E27" s="10" t="s">
        <v>43</v>
      </c>
      <c r="F27" s="10"/>
      <c r="G27" s="10"/>
      <c r="H27" s="11"/>
    </row>
    <row r="28" spans="1:8" x14ac:dyDescent="0.25">
      <c r="A28" s="10"/>
      <c r="B28" s="10"/>
      <c r="C28" s="10"/>
      <c r="D28" s="10"/>
      <c r="E28" s="10" t="s">
        <v>34</v>
      </c>
      <c r="F28" s="10"/>
      <c r="G28" s="10"/>
      <c r="H28" s="11"/>
    </row>
  </sheetData>
  <mergeCells count="63"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  <mergeCell ref="E10:G10"/>
    <mergeCell ref="A20:A22"/>
    <mergeCell ref="A23:A25"/>
    <mergeCell ref="A26:A28"/>
    <mergeCell ref="A14:A16"/>
    <mergeCell ref="A17:A19"/>
    <mergeCell ref="E7:G7"/>
    <mergeCell ref="B8:D8"/>
    <mergeCell ref="E8:G8"/>
    <mergeCell ref="B9:D9"/>
    <mergeCell ref="E9:G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B22:D22"/>
    <mergeCell ref="E22:G22"/>
    <mergeCell ref="B23:D23"/>
    <mergeCell ref="E23:G23"/>
    <mergeCell ref="B24:D24"/>
    <mergeCell ref="E24:G24"/>
    <mergeCell ref="B25:D25"/>
    <mergeCell ref="E25:G25"/>
    <mergeCell ref="B26:D26"/>
    <mergeCell ref="E26:G26"/>
    <mergeCell ref="B27:D27"/>
    <mergeCell ref="E27:G27"/>
    <mergeCell ref="B28:D28"/>
    <mergeCell ref="E28:G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12" t="s">
        <v>145</v>
      </c>
      <c r="B1" s="12"/>
      <c r="C1" s="12"/>
      <c r="D1" s="12" t="s">
        <v>146</v>
      </c>
      <c r="E1" s="12"/>
      <c r="F1" s="12"/>
      <c r="G1" s="12" t="s">
        <v>44</v>
      </c>
      <c r="H1" s="12"/>
      <c r="I1" s="12"/>
      <c r="J1" s="12"/>
    </row>
    <row r="2" spans="1:10" x14ac:dyDescent="0.25">
      <c r="A2" s="8" t="s">
        <v>45</v>
      </c>
      <c r="B2" s="8"/>
      <c r="C2" s="8"/>
      <c r="D2" s="8" t="s">
        <v>149</v>
      </c>
      <c r="E2" s="8"/>
      <c r="F2" s="8"/>
      <c r="G2" s="8" t="s">
        <v>194</v>
      </c>
      <c r="H2" s="8"/>
      <c r="I2" s="8"/>
      <c r="J2" s="8"/>
    </row>
    <row r="3" spans="1:10" x14ac:dyDescent="0.25">
      <c r="A3" s="8" t="s">
        <v>45</v>
      </c>
      <c r="B3" s="8"/>
      <c r="C3" s="8"/>
      <c r="D3" s="8" t="s">
        <v>150</v>
      </c>
      <c r="E3" s="8"/>
      <c r="F3" s="8"/>
      <c r="G3" s="8" t="s">
        <v>195</v>
      </c>
      <c r="H3" s="8"/>
      <c r="I3" s="8"/>
      <c r="J3" s="8"/>
    </row>
    <row r="4" spans="1:10" x14ac:dyDescent="0.25">
      <c r="A4" s="8" t="s">
        <v>45</v>
      </c>
      <c r="B4" s="8"/>
      <c r="C4" s="8"/>
      <c r="D4" s="8" t="s">
        <v>27</v>
      </c>
      <c r="E4" s="8"/>
      <c r="F4" s="8"/>
      <c r="G4" s="8" t="s">
        <v>122</v>
      </c>
      <c r="H4" s="8"/>
      <c r="I4" s="8"/>
      <c r="J4" s="8"/>
    </row>
    <row r="5" spans="1:10" x14ac:dyDescent="0.25">
      <c r="A5" s="8" t="s">
        <v>45</v>
      </c>
      <c r="B5" s="8"/>
      <c r="C5" s="8"/>
      <c r="D5" s="8" t="s">
        <v>27</v>
      </c>
      <c r="E5" s="8"/>
      <c r="F5" s="8"/>
      <c r="G5" s="8" t="s">
        <v>123</v>
      </c>
      <c r="H5" s="8"/>
      <c r="I5" s="8"/>
      <c r="J5" s="8"/>
    </row>
    <row r="6" spans="1:10" x14ac:dyDescent="0.25">
      <c r="A6" s="8"/>
      <c r="B6" s="8"/>
      <c r="C6" s="8"/>
      <c r="D6" s="8"/>
      <c r="E6" s="8"/>
      <c r="F6" s="8"/>
      <c r="G6" s="8"/>
      <c r="H6" s="8"/>
      <c r="I6" s="8"/>
      <c r="J6" s="8"/>
    </row>
    <row r="7" spans="1:10" x14ac:dyDescent="0.25">
      <c r="A7" s="8"/>
      <c r="B7" s="8"/>
      <c r="C7" s="8"/>
      <c r="D7" s="8"/>
      <c r="E7" s="8"/>
      <c r="F7" s="8"/>
      <c r="G7" s="8"/>
      <c r="H7" s="8"/>
      <c r="I7" s="8"/>
      <c r="J7" s="8"/>
    </row>
    <row r="8" spans="1:10" x14ac:dyDescent="0.25">
      <c r="A8" s="8"/>
      <c r="B8" s="8"/>
      <c r="C8" s="8"/>
      <c r="D8" s="8"/>
      <c r="E8" s="8"/>
      <c r="F8" s="8"/>
      <c r="G8" s="8"/>
      <c r="H8" s="8"/>
      <c r="I8" s="8"/>
      <c r="J8" s="8"/>
    </row>
    <row r="9" spans="1:10" x14ac:dyDescent="0.25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0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</row>
    <row r="11" spans="1:10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</row>
  </sheetData>
  <mergeCells count="33">
    <mergeCell ref="A1:C1"/>
    <mergeCell ref="D1:F1"/>
    <mergeCell ref="G1:J1"/>
    <mergeCell ref="A2:C2"/>
    <mergeCell ref="D2:F2"/>
    <mergeCell ref="G2:J2"/>
    <mergeCell ref="A3:C3"/>
    <mergeCell ref="D3:F3"/>
    <mergeCell ref="G3:J3"/>
    <mergeCell ref="A4:C4"/>
    <mergeCell ref="D4:F4"/>
    <mergeCell ref="G4:J4"/>
    <mergeCell ref="A5:C5"/>
    <mergeCell ref="D5:F5"/>
    <mergeCell ref="G5:J5"/>
    <mergeCell ref="A6:C6"/>
    <mergeCell ref="D6:F6"/>
    <mergeCell ref="G6:J6"/>
    <mergeCell ref="A7:C7"/>
    <mergeCell ref="D7:F7"/>
    <mergeCell ref="G7:J7"/>
    <mergeCell ref="A8:C8"/>
    <mergeCell ref="D8:F8"/>
    <mergeCell ref="G8:J8"/>
    <mergeCell ref="A11:C11"/>
    <mergeCell ref="D11:F11"/>
    <mergeCell ref="G11:J11"/>
    <mergeCell ref="A9:C9"/>
    <mergeCell ref="D9:F9"/>
    <mergeCell ref="G9:J9"/>
    <mergeCell ref="A10:C10"/>
    <mergeCell ref="D10:F10"/>
    <mergeCell ref="G10:J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M7"/>
  <sheetViews>
    <sheetView workbookViewId="0">
      <selection activeCell="G14" sqref="G14"/>
    </sheetView>
  </sheetViews>
  <sheetFormatPr defaultRowHeight="15" x14ac:dyDescent="0.25"/>
  <sheetData>
    <row r="1" spans="1:13" ht="15" customHeight="1" x14ac:dyDescent="0.25">
      <c r="A1" s="13" t="s">
        <v>124</v>
      </c>
      <c r="B1" s="9"/>
      <c r="C1" s="9"/>
      <c r="D1" s="9"/>
      <c r="E1" s="9"/>
      <c r="F1" s="9"/>
      <c r="H1" s="13" t="s">
        <v>124</v>
      </c>
      <c r="I1" s="9"/>
      <c r="J1" s="9"/>
      <c r="K1" s="9"/>
      <c r="L1" s="9"/>
      <c r="M1" s="9"/>
    </row>
    <row r="2" spans="1:13" ht="15" customHeight="1" x14ac:dyDescent="0.25">
      <c r="A2" s="9"/>
      <c r="B2" s="9"/>
      <c r="C2" s="9"/>
      <c r="D2" s="9"/>
      <c r="E2" s="9"/>
      <c r="F2" s="9"/>
      <c r="H2" s="9"/>
      <c r="I2" s="9"/>
      <c r="J2" s="9"/>
      <c r="K2" s="9"/>
      <c r="L2" s="9"/>
      <c r="M2" s="9"/>
    </row>
    <row r="3" spans="1:13" ht="15" customHeight="1" x14ac:dyDescent="0.25">
      <c r="A3" s="9"/>
      <c r="B3" s="9"/>
      <c r="C3" s="9"/>
      <c r="D3" s="9"/>
      <c r="E3" s="9"/>
      <c r="F3" s="9"/>
      <c r="H3" s="9"/>
      <c r="I3" s="9"/>
      <c r="J3" s="9"/>
      <c r="K3" s="9"/>
      <c r="L3" s="9"/>
      <c r="M3" s="9"/>
    </row>
    <row r="4" spans="1:13" x14ac:dyDescent="0.25">
      <c r="A4" s="8" t="s">
        <v>24</v>
      </c>
      <c r="B4" s="8"/>
      <c r="C4" s="8" t="s">
        <v>147</v>
      </c>
      <c r="D4" s="8"/>
      <c r="E4" s="8"/>
      <c r="F4" s="8"/>
      <c r="H4" s="8" t="s">
        <v>24</v>
      </c>
      <c r="I4" s="8"/>
      <c r="J4" s="8" t="s">
        <v>147</v>
      </c>
      <c r="K4" s="8"/>
      <c r="L4" s="8"/>
      <c r="M4" s="8"/>
    </row>
    <row r="5" spans="1:13" x14ac:dyDescent="0.25">
      <c r="A5" s="8"/>
      <c r="B5" s="8"/>
      <c r="C5" s="8"/>
      <c r="D5" s="8"/>
      <c r="E5" s="8"/>
      <c r="F5" s="8"/>
      <c r="H5" s="8"/>
      <c r="I5" s="8"/>
      <c r="J5" s="8"/>
      <c r="K5" s="8"/>
      <c r="L5" s="8"/>
      <c r="M5" s="8"/>
    </row>
    <row r="6" spans="1:13" x14ac:dyDescent="0.25">
      <c r="A6" s="9" t="s">
        <v>122</v>
      </c>
      <c r="B6" s="8"/>
      <c r="C6" s="8"/>
      <c r="D6" s="8"/>
      <c r="E6" s="8"/>
      <c r="F6" s="8"/>
      <c r="H6" s="9" t="s">
        <v>123</v>
      </c>
      <c r="I6" s="8"/>
      <c r="J6" s="8"/>
      <c r="K6" s="8"/>
      <c r="L6" s="8"/>
      <c r="M6" s="8"/>
    </row>
    <row r="7" spans="1:13" x14ac:dyDescent="0.25">
      <c r="A7" s="8"/>
      <c r="B7" s="8"/>
      <c r="C7" s="8"/>
      <c r="D7" s="8"/>
      <c r="E7" s="8"/>
      <c r="F7" s="8"/>
      <c r="H7" s="8"/>
      <c r="I7" s="8"/>
      <c r="J7" s="8"/>
      <c r="K7" s="8"/>
      <c r="L7" s="8"/>
      <c r="M7" s="8"/>
    </row>
  </sheetData>
  <mergeCells count="8">
    <mergeCell ref="H6:M7"/>
    <mergeCell ref="C4:F5"/>
    <mergeCell ref="H1:M3"/>
    <mergeCell ref="H4:I5"/>
    <mergeCell ref="J4:M5"/>
    <mergeCell ref="A6:F7"/>
    <mergeCell ref="A1:F3"/>
    <mergeCell ref="A4:B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83"/>
  <sheetViews>
    <sheetView zoomScale="85" zoomScaleNormal="85" workbookViewId="0">
      <selection activeCell="J18" sqref="J18"/>
    </sheetView>
  </sheetViews>
  <sheetFormatPr defaultRowHeight="15" x14ac:dyDescent="0.25"/>
  <sheetData>
    <row r="1" spans="1:21" x14ac:dyDescent="0.25">
      <c r="A1" s="5" t="s">
        <v>106</v>
      </c>
      <c r="B1" s="5"/>
      <c r="C1" s="5" t="s">
        <v>107</v>
      </c>
      <c r="D1" s="5"/>
      <c r="E1" s="5" t="s">
        <v>108</v>
      </c>
      <c r="F1" s="5"/>
      <c r="G1" s="5" t="s">
        <v>109</v>
      </c>
      <c r="H1" s="5"/>
      <c r="I1" s="5" t="s">
        <v>110</v>
      </c>
      <c r="J1" s="5"/>
      <c r="K1" s="5" t="s">
        <v>111</v>
      </c>
      <c r="L1" s="5"/>
    </row>
    <row r="2" spans="1:21" ht="15" customHeight="1" x14ac:dyDescent="0.25">
      <c r="A2" s="5" t="s">
        <v>46</v>
      </c>
      <c r="B2" s="5" t="s">
        <v>153</v>
      </c>
      <c r="C2" s="5" t="s">
        <v>56</v>
      </c>
      <c r="D2" s="5" t="s">
        <v>163</v>
      </c>
      <c r="E2" s="5" t="s">
        <v>66</v>
      </c>
      <c r="F2" s="5" t="s">
        <v>173</v>
      </c>
      <c r="G2" s="5" t="s">
        <v>71</v>
      </c>
      <c r="H2" s="5" t="s">
        <v>115</v>
      </c>
      <c r="I2" s="5" t="s">
        <v>89</v>
      </c>
      <c r="J2" s="5" t="s">
        <v>130</v>
      </c>
      <c r="K2" s="5" t="s">
        <v>97</v>
      </c>
      <c r="L2" s="5" t="s">
        <v>140</v>
      </c>
      <c r="O2" s="13" t="s">
        <v>124</v>
      </c>
      <c r="P2" s="9"/>
      <c r="Q2" s="9"/>
      <c r="R2" s="9"/>
      <c r="S2" s="9"/>
      <c r="T2" s="9"/>
    </row>
    <row r="3" spans="1:21" ht="15" customHeight="1" x14ac:dyDescent="0.25">
      <c r="A3" s="5" t="s">
        <v>47</v>
      </c>
      <c r="B3" s="5" t="s">
        <v>154</v>
      </c>
      <c r="C3" s="5" t="s">
        <v>57</v>
      </c>
      <c r="D3" s="5" t="s">
        <v>164</v>
      </c>
      <c r="E3" s="5" t="s">
        <v>67</v>
      </c>
      <c r="F3" s="5" t="s">
        <v>174</v>
      </c>
      <c r="G3" s="5" t="s">
        <v>81</v>
      </c>
      <c r="H3" s="5" t="s">
        <v>15</v>
      </c>
      <c r="I3" s="5" t="s">
        <v>90</v>
      </c>
      <c r="J3" s="5" t="s">
        <v>131</v>
      </c>
      <c r="K3" s="5" t="s">
        <v>98</v>
      </c>
      <c r="L3" s="5" t="s">
        <v>141</v>
      </c>
      <c r="O3" s="9"/>
      <c r="P3" s="9"/>
      <c r="Q3" s="9"/>
      <c r="R3" s="9"/>
      <c r="S3" s="9"/>
      <c r="T3" s="9"/>
    </row>
    <row r="4" spans="1:21" ht="15" customHeight="1" x14ac:dyDescent="0.25">
      <c r="A4" s="5" t="s">
        <v>48</v>
      </c>
      <c r="B4" s="5" t="s">
        <v>155</v>
      </c>
      <c r="C4" s="5" t="s">
        <v>58</v>
      </c>
      <c r="D4" s="5" t="s">
        <v>165</v>
      </c>
      <c r="E4" s="5" t="s">
        <v>68</v>
      </c>
      <c r="F4" s="5" t="s">
        <v>175</v>
      </c>
      <c r="G4" s="5" t="s">
        <v>82</v>
      </c>
      <c r="H4" s="5" t="s">
        <v>16</v>
      </c>
      <c r="I4" s="5" t="s">
        <v>73</v>
      </c>
      <c r="J4" s="5" t="s">
        <v>132</v>
      </c>
      <c r="K4" s="5" t="s">
        <v>99</v>
      </c>
      <c r="L4" s="5" t="s">
        <v>142</v>
      </c>
      <c r="O4" s="9"/>
      <c r="P4" s="9"/>
      <c r="Q4" s="9"/>
      <c r="R4" s="9"/>
      <c r="S4" s="9"/>
      <c r="T4" s="9"/>
    </row>
    <row r="5" spans="1:21" x14ac:dyDescent="0.25">
      <c r="A5" s="5" t="s">
        <v>49</v>
      </c>
      <c r="B5" s="5" t="s">
        <v>156</v>
      </c>
      <c r="C5" s="5" t="s">
        <v>59</v>
      </c>
      <c r="D5" s="5" t="s">
        <v>166</v>
      </c>
      <c r="E5" s="5" t="s">
        <v>69</v>
      </c>
      <c r="F5" s="5" t="s">
        <v>176</v>
      </c>
      <c r="G5" s="5" t="s">
        <v>83</v>
      </c>
      <c r="H5" s="5" t="s">
        <v>17</v>
      </c>
      <c r="I5" s="5" t="s">
        <v>91</v>
      </c>
      <c r="J5" s="5" t="s">
        <v>133</v>
      </c>
      <c r="K5" s="5" t="s">
        <v>100</v>
      </c>
      <c r="L5" s="5" t="s">
        <v>143</v>
      </c>
      <c r="O5" s="8" t="s">
        <v>24</v>
      </c>
      <c r="P5" s="8"/>
      <c r="Q5" s="8" t="s">
        <v>147</v>
      </c>
      <c r="R5" s="8"/>
      <c r="S5" s="8"/>
      <c r="T5" s="8"/>
    </row>
    <row r="6" spans="1:21" x14ac:dyDescent="0.25">
      <c r="A6" s="5" t="s">
        <v>50</v>
      </c>
      <c r="B6" s="5" t="s">
        <v>157</v>
      </c>
      <c r="C6" s="5" t="s">
        <v>60</v>
      </c>
      <c r="D6" s="5" t="s">
        <v>167</v>
      </c>
      <c r="E6" s="5" t="s">
        <v>70</v>
      </c>
      <c r="F6" s="5" t="s">
        <v>177</v>
      </c>
      <c r="G6" s="5" t="s">
        <v>84</v>
      </c>
      <c r="H6" s="5" t="s">
        <v>18</v>
      </c>
      <c r="I6" s="5" t="s">
        <v>92</v>
      </c>
      <c r="J6" s="5" t="s">
        <v>134</v>
      </c>
      <c r="K6" s="5" t="s">
        <v>75</v>
      </c>
      <c r="L6" s="5" t="s">
        <v>144</v>
      </c>
      <c r="O6" s="8"/>
      <c r="P6" s="8"/>
      <c r="Q6" s="8"/>
      <c r="R6" s="8"/>
      <c r="S6" s="8"/>
      <c r="T6" s="8"/>
    </row>
    <row r="7" spans="1:21" ht="15" customHeight="1" x14ac:dyDescent="0.25">
      <c r="A7" s="5" t="s">
        <v>51</v>
      </c>
      <c r="B7" s="5" t="s">
        <v>158</v>
      </c>
      <c r="C7" s="5" t="s">
        <v>61</v>
      </c>
      <c r="D7" s="5" t="s">
        <v>168</v>
      </c>
      <c r="E7" s="5" t="s">
        <v>76</v>
      </c>
      <c r="F7" s="5" t="s">
        <v>178</v>
      </c>
      <c r="G7" s="5" t="s">
        <v>85</v>
      </c>
      <c r="H7" s="5" t="s">
        <v>19</v>
      </c>
      <c r="I7" s="5" t="s">
        <v>93</v>
      </c>
      <c r="J7" s="5" t="s">
        <v>135</v>
      </c>
      <c r="K7" s="5" t="s">
        <v>101</v>
      </c>
      <c r="L7" s="5" t="s">
        <v>183</v>
      </c>
      <c r="O7" s="9" t="s">
        <v>122</v>
      </c>
      <c r="P7" s="8"/>
      <c r="Q7" s="8"/>
      <c r="R7" s="8"/>
      <c r="S7" s="8"/>
      <c r="T7" s="8"/>
    </row>
    <row r="8" spans="1:21" x14ac:dyDescent="0.25">
      <c r="A8" s="5" t="s">
        <v>52</v>
      </c>
      <c r="B8" s="5" t="s">
        <v>159</v>
      </c>
      <c r="C8" s="5" t="s">
        <v>62</v>
      </c>
      <c r="D8" s="5" t="s">
        <v>169</v>
      </c>
      <c r="E8" s="5" t="s">
        <v>77</v>
      </c>
      <c r="F8" s="5" t="s">
        <v>179</v>
      </c>
      <c r="G8" s="5" t="s">
        <v>72</v>
      </c>
      <c r="H8" s="5" t="s">
        <v>20</v>
      </c>
      <c r="I8" s="5" t="s">
        <v>94</v>
      </c>
      <c r="J8" s="5" t="s">
        <v>136</v>
      </c>
      <c r="K8" s="5" t="s">
        <v>102</v>
      </c>
      <c r="L8" s="5" t="s">
        <v>184</v>
      </c>
      <c r="O8" s="8"/>
      <c r="P8" s="8"/>
      <c r="Q8" s="8"/>
      <c r="R8" s="8"/>
      <c r="S8" s="8"/>
      <c r="T8" s="8"/>
    </row>
    <row r="9" spans="1:21" x14ac:dyDescent="0.25">
      <c r="A9" s="5" t="s">
        <v>53</v>
      </c>
      <c r="B9" s="5" t="s">
        <v>160</v>
      </c>
      <c r="C9" s="5" t="s">
        <v>63</v>
      </c>
      <c r="D9" s="5" t="s">
        <v>170</v>
      </c>
      <c r="E9" s="5" t="s">
        <v>78</v>
      </c>
      <c r="F9" s="5" t="s">
        <v>180</v>
      </c>
      <c r="G9" s="5" t="s">
        <v>86</v>
      </c>
      <c r="H9" s="5" t="s">
        <v>21</v>
      </c>
      <c r="I9" s="5" t="s">
        <v>95</v>
      </c>
      <c r="J9" s="5" t="s">
        <v>137</v>
      </c>
      <c r="K9" s="5" t="s">
        <v>103</v>
      </c>
      <c r="L9" s="5" t="s">
        <v>185</v>
      </c>
    </row>
    <row r="10" spans="1:21" x14ac:dyDescent="0.25">
      <c r="A10" s="5" t="s">
        <v>54</v>
      </c>
      <c r="B10" s="5" t="s">
        <v>161</v>
      </c>
      <c r="C10" s="5" t="s">
        <v>64</v>
      </c>
      <c r="D10" s="5" t="s">
        <v>171</v>
      </c>
      <c r="E10" s="5" t="s">
        <v>79</v>
      </c>
      <c r="F10" s="5" t="s">
        <v>181</v>
      </c>
      <c r="G10" s="5" t="s">
        <v>87</v>
      </c>
      <c r="H10" s="5" t="s">
        <v>118</v>
      </c>
      <c r="I10" s="5" t="s">
        <v>74</v>
      </c>
      <c r="J10" s="5" t="s">
        <v>138</v>
      </c>
      <c r="K10" s="5" t="s">
        <v>104</v>
      </c>
      <c r="L10" s="5" t="s">
        <v>186</v>
      </c>
      <c r="N10" s="10" t="s">
        <v>22</v>
      </c>
      <c r="O10" s="10"/>
      <c r="P10" s="10"/>
      <c r="Q10" s="10"/>
      <c r="R10" s="10"/>
      <c r="S10" s="10"/>
      <c r="T10" s="10"/>
      <c r="U10" s="10"/>
    </row>
    <row r="11" spans="1:21" x14ac:dyDescent="0.25">
      <c r="A11" s="5" t="s">
        <v>55</v>
      </c>
      <c r="B11" s="5" t="s">
        <v>162</v>
      </c>
      <c r="C11" s="5" t="s">
        <v>65</v>
      </c>
      <c r="D11" s="5" t="s">
        <v>172</v>
      </c>
      <c r="E11" s="5" t="s">
        <v>80</v>
      </c>
      <c r="F11" s="5" t="s">
        <v>182</v>
      </c>
      <c r="G11" s="5" t="s">
        <v>88</v>
      </c>
      <c r="H11" s="5" t="s">
        <v>129</v>
      </c>
      <c r="I11" s="5" t="s">
        <v>96</v>
      </c>
      <c r="J11" s="5" t="s">
        <v>139</v>
      </c>
      <c r="K11" s="5" t="s">
        <v>105</v>
      </c>
      <c r="L11" s="5" t="s">
        <v>187</v>
      </c>
      <c r="N11" s="11" t="s">
        <v>23</v>
      </c>
      <c r="O11" s="10" t="s">
        <v>24</v>
      </c>
      <c r="P11" s="10"/>
      <c r="Q11" s="10"/>
      <c r="R11" s="10" t="s">
        <v>25</v>
      </c>
      <c r="S11" s="10"/>
      <c r="T11" s="10"/>
      <c r="U11" s="11" t="s">
        <v>26</v>
      </c>
    </row>
    <row r="12" spans="1:21" x14ac:dyDescent="0.25">
      <c r="N12" s="10">
        <v>1</v>
      </c>
      <c r="O12" s="10" t="s">
        <v>27</v>
      </c>
      <c r="P12" s="10"/>
      <c r="Q12" s="10"/>
      <c r="R12" s="10" t="s">
        <v>28</v>
      </c>
      <c r="S12" s="10"/>
      <c r="T12" s="10"/>
      <c r="U12" s="11">
        <v>2</v>
      </c>
    </row>
    <row r="13" spans="1:21" x14ac:dyDescent="0.25">
      <c r="N13" s="10"/>
      <c r="O13" s="10" t="s">
        <v>29</v>
      </c>
      <c r="P13" s="10"/>
      <c r="Q13" s="10"/>
      <c r="R13" s="10" t="s">
        <v>30</v>
      </c>
      <c r="S13" s="10"/>
      <c r="T13" s="10"/>
      <c r="U13" s="11">
        <v>2</v>
      </c>
    </row>
    <row r="14" spans="1:21" x14ac:dyDescent="0.25">
      <c r="N14" s="10"/>
      <c r="O14" s="10" t="s">
        <v>31</v>
      </c>
      <c r="P14" s="10"/>
      <c r="Q14" s="10"/>
      <c r="R14" s="10" t="s">
        <v>32</v>
      </c>
      <c r="S14" s="10"/>
      <c r="T14" s="10"/>
      <c r="U14" s="11">
        <v>2</v>
      </c>
    </row>
    <row r="15" spans="1:21" x14ac:dyDescent="0.25">
      <c r="N15" s="10"/>
      <c r="O15" s="10" t="s">
        <v>33</v>
      </c>
      <c r="P15" s="10"/>
      <c r="Q15" s="10"/>
      <c r="R15" s="10" t="s">
        <v>34</v>
      </c>
      <c r="S15" s="10"/>
      <c r="T15" s="10"/>
      <c r="U15" s="11">
        <v>67</v>
      </c>
    </row>
    <row r="16" spans="1:21" x14ac:dyDescent="0.25">
      <c r="N16" s="11">
        <v>2</v>
      </c>
      <c r="O16" s="10" t="s">
        <v>35</v>
      </c>
      <c r="P16" s="10"/>
      <c r="Q16" s="10"/>
      <c r="R16" s="10" t="s">
        <v>36</v>
      </c>
      <c r="S16" s="10"/>
      <c r="T16" s="10"/>
      <c r="U16" s="11">
        <v>2</v>
      </c>
    </row>
    <row r="17" spans="1:21" x14ac:dyDescent="0.25">
      <c r="N17" s="11">
        <v>3</v>
      </c>
      <c r="O17" s="10" t="s">
        <v>35</v>
      </c>
      <c r="P17" s="10"/>
      <c r="Q17" s="10"/>
      <c r="R17" s="10" t="s">
        <v>36</v>
      </c>
      <c r="S17" s="10"/>
      <c r="T17" s="10"/>
      <c r="U17" s="11">
        <v>2</v>
      </c>
    </row>
    <row r="18" spans="1:21" x14ac:dyDescent="0.25">
      <c r="N18" s="10">
        <v>4</v>
      </c>
      <c r="O18" s="10" t="s">
        <v>37</v>
      </c>
      <c r="P18" s="10"/>
      <c r="Q18" s="10"/>
      <c r="R18" s="10" t="s">
        <v>39</v>
      </c>
      <c r="S18" s="10"/>
      <c r="T18" s="10"/>
      <c r="U18" s="11" t="s">
        <v>41</v>
      </c>
    </row>
    <row r="19" spans="1:21" x14ac:dyDescent="0.25">
      <c r="N19" s="10"/>
      <c r="O19" s="10" t="s">
        <v>38</v>
      </c>
      <c r="P19" s="10"/>
      <c r="Q19" s="10"/>
      <c r="R19" s="10" t="s">
        <v>40</v>
      </c>
      <c r="S19" s="10"/>
      <c r="T19" s="10"/>
      <c r="U19" s="11" t="s">
        <v>41</v>
      </c>
    </row>
    <row r="20" spans="1:21" x14ac:dyDescent="0.25">
      <c r="N20" s="10">
        <v>5</v>
      </c>
      <c r="O20" s="10" t="s">
        <v>149</v>
      </c>
      <c r="P20" s="10"/>
      <c r="Q20" s="10"/>
      <c r="R20" s="10" t="s">
        <v>42</v>
      </c>
      <c r="S20" s="10"/>
      <c r="T20" s="10"/>
      <c r="U20" s="11">
        <v>1</v>
      </c>
    </row>
    <row r="21" spans="1:21" x14ac:dyDescent="0.25">
      <c r="N21" s="10"/>
      <c r="O21" s="10" t="s">
        <v>151</v>
      </c>
      <c r="P21" s="10"/>
      <c r="Q21" s="10"/>
      <c r="R21" s="10" t="s">
        <v>43</v>
      </c>
      <c r="S21" s="10"/>
      <c r="T21" s="10"/>
      <c r="U21" s="11">
        <v>1</v>
      </c>
    </row>
    <row r="22" spans="1:21" x14ac:dyDescent="0.25">
      <c r="N22" s="10"/>
      <c r="O22" s="10" t="s">
        <v>148</v>
      </c>
      <c r="P22" s="10"/>
      <c r="Q22" s="10"/>
      <c r="R22" s="10" t="s">
        <v>34</v>
      </c>
      <c r="S22" s="10"/>
      <c r="T22" s="10"/>
      <c r="U22" s="11">
        <v>30</v>
      </c>
    </row>
    <row r="23" spans="1:21" x14ac:dyDescent="0.25">
      <c r="N23" s="10">
        <v>6</v>
      </c>
      <c r="O23" s="10" t="s">
        <v>150</v>
      </c>
      <c r="P23" s="10"/>
      <c r="Q23" s="10"/>
      <c r="R23" s="10" t="s">
        <v>42</v>
      </c>
      <c r="S23" s="10"/>
      <c r="T23" s="10"/>
      <c r="U23" s="11">
        <v>1</v>
      </c>
    </row>
    <row r="24" spans="1:21" x14ac:dyDescent="0.25">
      <c r="N24" s="10"/>
      <c r="O24" s="10" t="s">
        <v>152</v>
      </c>
      <c r="P24" s="10"/>
      <c r="Q24" s="10"/>
      <c r="R24" s="10" t="s">
        <v>43</v>
      </c>
      <c r="S24" s="10"/>
      <c r="T24" s="10"/>
      <c r="U24" s="11">
        <v>1</v>
      </c>
    </row>
    <row r="25" spans="1:21" x14ac:dyDescent="0.25">
      <c r="N25" s="10"/>
      <c r="O25" s="10" t="s">
        <v>148</v>
      </c>
      <c r="P25" s="10"/>
      <c r="Q25" s="10"/>
      <c r="R25" s="10" t="s">
        <v>34</v>
      </c>
      <c r="S25" s="10"/>
      <c r="T25" s="10"/>
      <c r="U25" s="11">
        <v>35</v>
      </c>
    </row>
    <row r="26" spans="1:21" x14ac:dyDescent="0.25">
      <c r="N26" s="10">
        <v>7</v>
      </c>
      <c r="O26" s="10"/>
      <c r="P26" s="10"/>
      <c r="Q26" s="10"/>
      <c r="R26" s="10" t="s">
        <v>42</v>
      </c>
      <c r="S26" s="10"/>
      <c r="T26" s="10"/>
      <c r="U26" s="11"/>
    </row>
    <row r="27" spans="1:21" x14ac:dyDescent="0.25">
      <c r="N27" s="10"/>
      <c r="O27" s="10"/>
      <c r="P27" s="10"/>
      <c r="Q27" s="10"/>
      <c r="R27" s="10" t="s">
        <v>43</v>
      </c>
      <c r="S27" s="10"/>
      <c r="T27" s="10"/>
      <c r="U27" s="11"/>
    </row>
    <row r="28" spans="1:21" x14ac:dyDescent="0.25">
      <c r="N28" s="10"/>
      <c r="O28" s="10"/>
      <c r="P28" s="10"/>
      <c r="Q28" s="10"/>
      <c r="R28" s="10" t="s">
        <v>34</v>
      </c>
      <c r="S28" s="10"/>
      <c r="T28" s="10"/>
      <c r="U28" s="11"/>
    </row>
    <row r="29" spans="1:21" x14ac:dyDescent="0.25">
      <c r="N29" s="10">
        <v>8</v>
      </c>
      <c r="O29" s="10"/>
      <c r="P29" s="10"/>
      <c r="Q29" s="10"/>
      <c r="R29" s="10" t="s">
        <v>42</v>
      </c>
      <c r="S29" s="10"/>
      <c r="T29" s="10"/>
      <c r="U29" s="11"/>
    </row>
    <row r="30" spans="1:21" x14ac:dyDescent="0.25">
      <c r="N30" s="10"/>
      <c r="O30" s="10"/>
      <c r="P30" s="10"/>
      <c r="Q30" s="10"/>
      <c r="R30" s="10" t="s">
        <v>43</v>
      </c>
      <c r="S30" s="10"/>
      <c r="T30" s="10"/>
      <c r="U30" s="11"/>
    </row>
    <row r="31" spans="1:21" x14ac:dyDescent="0.25">
      <c r="A31" s="12" t="s">
        <v>145</v>
      </c>
      <c r="B31" s="12"/>
      <c r="C31" s="12"/>
      <c r="D31" s="12" t="s">
        <v>146</v>
      </c>
      <c r="E31" s="12"/>
      <c r="F31" s="12"/>
      <c r="G31" s="12" t="s">
        <v>44</v>
      </c>
      <c r="H31" s="12"/>
      <c r="I31" s="12"/>
      <c r="J31" s="12"/>
      <c r="N31" s="10"/>
      <c r="O31" s="10"/>
      <c r="P31" s="10"/>
      <c r="Q31" s="10"/>
      <c r="R31" s="10" t="s">
        <v>34</v>
      </c>
      <c r="S31" s="10"/>
      <c r="T31" s="10"/>
      <c r="U31" s="11"/>
    </row>
    <row r="32" spans="1:21" x14ac:dyDescent="0.25">
      <c r="A32" s="8" t="s">
        <v>45</v>
      </c>
      <c r="B32" s="8"/>
      <c r="C32" s="8"/>
      <c r="D32" s="8" t="s">
        <v>149</v>
      </c>
      <c r="E32" s="8"/>
      <c r="F32" s="8"/>
      <c r="G32" s="8" t="s">
        <v>194</v>
      </c>
      <c r="H32" s="8"/>
      <c r="I32" s="8"/>
      <c r="J32" s="8"/>
      <c r="N32" s="10">
        <v>9</v>
      </c>
      <c r="O32" s="10"/>
      <c r="P32" s="10"/>
      <c r="Q32" s="10"/>
      <c r="R32" s="10" t="s">
        <v>42</v>
      </c>
      <c r="S32" s="10"/>
      <c r="T32" s="10"/>
      <c r="U32" s="11"/>
    </row>
    <row r="33" spans="1:21" x14ac:dyDescent="0.25">
      <c r="A33" s="8" t="s">
        <v>45</v>
      </c>
      <c r="B33" s="8"/>
      <c r="C33" s="8"/>
      <c r="D33" s="8" t="s">
        <v>150</v>
      </c>
      <c r="E33" s="8"/>
      <c r="F33" s="8"/>
      <c r="G33" s="8" t="s">
        <v>195</v>
      </c>
      <c r="H33" s="8"/>
      <c r="I33" s="8"/>
      <c r="J33" s="8"/>
      <c r="N33" s="10"/>
      <c r="O33" s="10"/>
      <c r="P33" s="10"/>
      <c r="Q33" s="10"/>
      <c r="R33" s="10" t="s">
        <v>43</v>
      </c>
      <c r="S33" s="10"/>
      <c r="T33" s="10"/>
      <c r="U33" s="11"/>
    </row>
    <row r="34" spans="1:21" x14ac:dyDescent="0.25">
      <c r="A34" s="8" t="s">
        <v>45</v>
      </c>
      <c r="B34" s="8"/>
      <c r="C34" s="8"/>
      <c r="D34" s="8" t="s">
        <v>27</v>
      </c>
      <c r="E34" s="8"/>
      <c r="F34" s="8"/>
      <c r="G34" s="8" t="s">
        <v>122</v>
      </c>
      <c r="H34" s="8"/>
      <c r="I34" s="8"/>
      <c r="J34" s="8"/>
      <c r="N34" s="10"/>
      <c r="O34" s="10"/>
      <c r="P34" s="10"/>
      <c r="Q34" s="10"/>
      <c r="R34" s="10" t="s">
        <v>34</v>
      </c>
      <c r="S34" s="10"/>
      <c r="T34" s="10"/>
      <c r="U34" s="11"/>
    </row>
    <row r="35" spans="1:21" x14ac:dyDescent="0.25">
      <c r="A35" s="8" t="s">
        <v>45</v>
      </c>
      <c r="B35" s="8"/>
      <c r="C35" s="8"/>
      <c r="D35" s="8" t="s">
        <v>27</v>
      </c>
      <c r="E35" s="8"/>
      <c r="F35" s="8"/>
      <c r="G35" s="8" t="s">
        <v>123</v>
      </c>
      <c r="H35" s="8"/>
      <c r="I35" s="8"/>
      <c r="J35" s="8"/>
      <c r="N35" s="10">
        <v>10</v>
      </c>
      <c r="O35" s="10"/>
      <c r="P35" s="10"/>
      <c r="Q35" s="10"/>
      <c r="R35" s="10" t="s">
        <v>42</v>
      </c>
      <c r="S35" s="10"/>
      <c r="T35" s="10"/>
      <c r="U35" s="11"/>
    </row>
    <row r="36" spans="1:2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N36" s="10"/>
      <c r="O36" s="10"/>
      <c r="P36" s="10"/>
      <c r="Q36" s="10"/>
      <c r="R36" s="10" t="s">
        <v>43</v>
      </c>
      <c r="S36" s="10"/>
      <c r="T36" s="10"/>
      <c r="U36" s="11"/>
    </row>
    <row r="37" spans="1:21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N37" s="10"/>
      <c r="O37" s="10"/>
      <c r="P37" s="10"/>
      <c r="Q37" s="10"/>
      <c r="R37" s="10" t="s">
        <v>34</v>
      </c>
      <c r="S37" s="10"/>
      <c r="T37" s="10"/>
      <c r="U37" s="11"/>
    </row>
    <row r="38" spans="1:21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21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21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21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</row>
    <row r="43" spans="1:21" x14ac:dyDescent="0.25">
      <c r="A43" s="5" t="s">
        <v>106</v>
      </c>
      <c r="B43" s="5"/>
      <c r="C43" s="5" t="s">
        <v>107</v>
      </c>
      <c r="D43" s="5"/>
      <c r="E43" s="5" t="s">
        <v>108</v>
      </c>
      <c r="F43" s="5"/>
      <c r="G43" s="5" t="s">
        <v>109</v>
      </c>
      <c r="H43" s="5"/>
      <c r="I43" s="5" t="s">
        <v>110</v>
      </c>
      <c r="J43" s="5"/>
      <c r="K43" s="5" t="s">
        <v>111</v>
      </c>
      <c r="L43" s="5"/>
    </row>
    <row r="44" spans="1:21" x14ac:dyDescent="0.25">
      <c r="A44" s="5" t="s">
        <v>46</v>
      </c>
      <c r="B44" s="5" t="s">
        <v>188</v>
      </c>
      <c r="C44" s="5" t="s">
        <v>56</v>
      </c>
      <c r="D44" s="5"/>
      <c r="E44" s="5" t="s">
        <v>66</v>
      </c>
      <c r="F44" s="5"/>
      <c r="G44" s="5" t="s">
        <v>71</v>
      </c>
      <c r="H44" s="5"/>
      <c r="I44" s="5" t="s">
        <v>89</v>
      </c>
      <c r="J44" s="5"/>
      <c r="K44" s="5" t="s">
        <v>97</v>
      </c>
      <c r="L44" s="5"/>
      <c r="O44" s="13" t="s">
        <v>124</v>
      </c>
      <c r="P44" s="9"/>
      <c r="Q44" s="9"/>
      <c r="R44" s="9"/>
      <c r="S44" s="9"/>
      <c r="T44" s="9"/>
    </row>
    <row r="45" spans="1:21" x14ac:dyDescent="0.25">
      <c r="A45" s="5" t="s">
        <v>47</v>
      </c>
      <c r="B45" s="5" t="s">
        <v>189</v>
      </c>
      <c r="C45" s="5" t="s">
        <v>57</v>
      </c>
      <c r="D45" s="5"/>
      <c r="E45" s="5" t="s">
        <v>67</v>
      </c>
      <c r="F45" s="5"/>
      <c r="G45" s="5" t="s">
        <v>81</v>
      </c>
      <c r="H45" s="5"/>
      <c r="I45" s="5" t="s">
        <v>90</v>
      </c>
      <c r="J45" s="5"/>
      <c r="K45" s="5" t="s">
        <v>98</v>
      </c>
      <c r="L45" s="5"/>
      <c r="O45" s="9"/>
      <c r="P45" s="9"/>
      <c r="Q45" s="9"/>
      <c r="R45" s="9"/>
      <c r="S45" s="9"/>
      <c r="T45" s="9"/>
    </row>
    <row r="46" spans="1:21" x14ac:dyDescent="0.25">
      <c r="A46" s="5" t="s">
        <v>48</v>
      </c>
      <c r="B46" s="5" t="s">
        <v>190</v>
      </c>
      <c r="C46" s="5" t="s">
        <v>58</v>
      </c>
      <c r="D46" s="5"/>
      <c r="E46" s="5" t="s">
        <v>68</v>
      </c>
      <c r="F46" s="5"/>
      <c r="G46" s="5" t="s">
        <v>82</v>
      </c>
      <c r="H46" s="5"/>
      <c r="I46" s="5" t="s">
        <v>73</v>
      </c>
      <c r="J46" s="5"/>
      <c r="K46" s="5" t="s">
        <v>99</v>
      </c>
      <c r="L46" s="5"/>
      <c r="O46" s="9"/>
      <c r="P46" s="9"/>
      <c r="Q46" s="9"/>
      <c r="R46" s="9"/>
      <c r="S46" s="9"/>
      <c r="T46" s="9"/>
    </row>
    <row r="47" spans="1:21" x14ac:dyDescent="0.25">
      <c r="A47" s="5" t="s">
        <v>49</v>
      </c>
      <c r="B47" s="5" t="s">
        <v>191</v>
      </c>
      <c r="C47" s="5" t="s">
        <v>59</v>
      </c>
      <c r="D47" s="5"/>
      <c r="E47" s="5" t="s">
        <v>69</v>
      </c>
      <c r="F47" s="5"/>
      <c r="G47" s="5" t="s">
        <v>83</v>
      </c>
      <c r="H47" s="5"/>
      <c r="I47" s="5" t="s">
        <v>91</v>
      </c>
      <c r="J47" s="5"/>
      <c r="K47" s="5" t="s">
        <v>100</v>
      </c>
      <c r="L47" s="5"/>
      <c r="O47" s="8" t="s">
        <v>24</v>
      </c>
      <c r="P47" s="8"/>
      <c r="Q47" s="8" t="s">
        <v>147</v>
      </c>
      <c r="R47" s="8"/>
      <c r="S47" s="8"/>
      <c r="T47" s="8"/>
    </row>
    <row r="48" spans="1:21" x14ac:dyDescent="0.25">
      <c r="A48" s="5" t="s">
        <v>50</v>
      </c>
      <c r="B48" s="5" t="s">
        <v>192</v>
      </c>
      <c r="C48" s="5" t="s">
        <v>60</v>
      </c>
      <c r="D48" s="5"/>
      <c r="E48" s="5" t="s">
        <v>70</v>
      </c>
      <c r="F48" s="5"/>
      <c r="G48" s="5" t="s">
        <v>84</v>
      </c>
      <c r="H48" s="5"/>
      <c r="I48" s="5" t="s">
        <v>92</v>
      </c>
      <c r="J48" s="5"/>
      <c r="K48" s="5" t="s">
        <v>75</v>
      </c>
      <c r="L48" s="5"/>
      <c r="O48" s="8"/>
      <c r="P48" s="8"/>
      <c r="Q48" s="8"/>
      <c r="R48" s="8"/>
      <c r="S48" s="8"/>
      <c r="T48" s="8"/>
    </row>
    <row r="49" spans="1:21" x14ac:dyDescent="0.25">
      <c r="A49" s="5" t="s">
        <v>51</v>
      </c>
      <c r="B49" s="5" t="s">
        <v>193</v>
      </c>
      <c r="C49" s="5" t="s">
        <v>61</v>
      </c>
      <c r="D49" s="5"/>
      <c r="E49" s="5" t="s">
        <v>76</v>
      </c>
      <c r="F49" s="5"/>
      <c r="G49" s="5" t="s">
        <v>85</v>
      </c>
      <c r="H49" s="5"/>
      <c r="I49" s="5" t="s">
        <v>93</v>
      </c>
      <c r="J49" s="5"/>
      <c r="K49" s="5" t="s">
        <v>101</v>
      </c>
      <c r="L49" s="5"/>
      <c r="O49" s="9" t="s">
        <v>123</v>
      </c>
      <c r="P49" s="8"/>
      <c r="Q49" s="8"/>
      <c r="R49" s="8"/>
      <c r="S49" s="8"/>
      <c r="T49" s="8"/>
    </row>
    <row r="50" spans="1:21" x14ac:dyDescent="0.25">
      <c r="A50" s="5" t="s">
        <v>52</v>
      </c>
      <c r="B50" s="5" t="s">
        <v>116</v>
      </c>
      <c r="C50" s="5" t="s">
        <v>62</v>
      </c>
      <c r="D50" s="5"/>
      <c r="E50" s="5" t="s">
        <v>77</v>
      </c>
      <c r="F50" s="5"/>
      <c r="G50" s="5" t="s">
        <v>72</v>
      </c>
      <c r="H50" s="5"/>
      <c r="I50" s="5" t="s">
        <v>94</v>
      </c>
      <c r="J50" s="5"/>
      <c r="K50" s="5" t="s">
        <v>102</v>
      </c>
      <c r="L50" s="5"/>
      <c r="O50" s="8"/>
      <c r="P50" s="8"/>
      <c r="Q50" s="8"/>
      <c r="R50" s="8"/>
      <c r="S50" s="8"/>
      <c r="T50" s="8"/>
    </row>
    <row r="51" spans="1:21" x14ac:dyDescent="0.25">
      <c r="A51" s="5" t="s">
        <v>53</v>
      </c>
      <c r="B51" s="5"/>
      <c r="C51" s="5" t="s">
        <v>63</v>
      </c>
      <c r="D51" s="5"/>
      <c r="E51" s="5" t="s">
        <v>78</v>
      </c>
      <c r="F51" s="5"/>
      <c r="G51" s="5" t="s">
        <v>86</v>
      </c>
      <c r="H51" s="5"/>
      <c r="I51" s="5" t="s">
        <v>95</v>
      </c>
      <c r="J51" s="5"/>
      <c r="K51" s="5" t="s">
        <v>103</v>
      </c>
      <c r="L51" s="5"/>
    </row>
    <row r="52" spans="1:21" x14ac:dyDescent="0.25">
      <c r="A52" s="5" t="s">
        <v>54</v>
      </c>
      <c r="B52" s="5"/>
      <c r="C52" s="5" t="s">
        <v>64</v>
      </c>
      <c r="D52" s="5"/>
      <c r="E52" s="5" t="s">
        <v>79</v>
      </c>
      <c r="F52" s="5"/>
      <c r="G52" s="5" t="s">
        <v>87</v>
      </c>
      <c r="H52" s="5"/>
      <c r="I52" s="5" t="s">
        <v>74</v>
      </c>
      <c r="J52" s="5"/>
      <c r="K52" s="5" t="s">
        <v>104</v>
      </c>
      <c r="L52" s="5"/>
      <c r="N52" s="10" t="s">
        <v>22</v>
      </c>
      <c r="O52" s="10"/>
      <c r="P52" s="10"/>
      <c r="Q52" s="10"/>
      <c r="R52" s="10"/>
      <c r="S52" s="10"/>
      <c r="T52" s="10"/>
      <c r="U52" s="10"/>
    </row>
    <row r="53" spans="1:21" x14ac:dyDescent="0.25">
      <c r="A53" s="5" t="s">
        <v>55</v>
      </c>
      <c r="B53" s="5"/>
      <c r="C53" s="5" t="s">
        <v>65</v>
      </c>
      <c r="D53" s="5"/>
      <c r="E53" s="5" t="s">
        <v>80</v>
      </c>
      <c r="F53" s="5"/>
      <c r="G53" s="5" t="s">
        <v>88</v>
      </c>
      <c r="H53" s="5"/>
      <c r="I53" s="5" t="s">
        <v>96</v>
      </c>
      <c r="J53" s="5"/>
      <c r="K53" s="5" t="s">
        <v>105</v>
      </c>
      <c r="L53" s="5"/>
      <c r="N53" s="11" t="s">
        <v>23</v>
      </c>
      <c r="O53" s="10" t="s">
        <v>24</v>
      </c>
      <c r="P53" s="10"/>
      <c r="Q53" s="10"/>
      <c r="R53" s="10" t="s">
        <v>25</v>
      </c>
      <c r="S53" s="10"/>
      <c r="T53" s="10"/>
      <c r="U53" s="11" t="s">
        <v>26</v>
      </c>
    </row>
    <row r="54" spans="1:21" x14ac:dyDescent="0.25">
      <c r="N54" s="10">
        <v>1</v>
      </c>
      <c r="O54" s="10" t="s">
        <v>27</v>
      </c>
      <c r="P54" s="10"/>
      <c r="Q54" s="10"/>
      <c r="R54" s="10" t="s">
        <v>28</v>
      </c>
      <c r="S54" s="10"/>
      <c r="T54" s="10"/>
      <c r="U54" s="11">
        <v>2</v>
      </c>
    </row>
    <row r="55" spans="1:21" x14ac:dyDescent="0.25">
      <c r="N55" s="10"/>
      <c r="O55" s="10" t="s">
        <v>29</v>
      </c>
      <c r="P55" s="10"/>
      <c r="Q55" s="10"/>
      <c r="R55" s="10" t="s">
        <v>30</v>
      </c>
      <c r="S55" s="10"/>
      <c r="T55" s="10"/>
      <c r="U55" s="11">
        <v>2</v>
      </c>
    </row>
    <row r="56" spans="1:21" x14ac:dyDescent="0.25">
      <c r="N56" s="10"/>
      <c r="O56" s="10" t="s">
        <v>31</v>
      </c>
      <c r="P56" s="10"/>
      <c r="Q56" s="10"/>
      <c r="R56" s="10" t="s">
        <v>32</v>
      </c>
      <c r="S56" s="10"/>
      <c r="T56" s="10"/>
      <c r="U56" s="11">
        <v>2</v>
      </c>
    </row>
    <row r="57" spans="1:21" x14ac:dyDescent="0.25">
      <c r="N57" s="10"/>
      <c r="O57" s="10" t="s">
        <v>33</v>
      </c>
      <c r="P57" s="10"/>
      <c r="Q57" s="10"/>
      <c r="R57" s="10" t="s">
        <v>34</v>
      </c>
      <c r="S57" s="10"/>
      <c r="T57" s="10"/>
      <c r="U57" s="11">
        <v>67</v>
      </c>
    </row>
    <row r="58" spans="1:21" x14ac:dyDescent="0.25">
      <c r="N58" s="11">
        <v>2</v>
      </c>
      <c r="O58" s="10" t="s">
        <v>35</v>
      </c>
      <c r="P58" s="10"/>
      <c r="Q58" s="10"/>
      <c r="R58" s="10" t="s">
        <v>36</v>
      </c>
      <c r="S58" s="10"/>
      <c r="T58" s="10"/>
      <c r="U58" s="11">
        <v>2</v>
      </c>
    </row>
    <row r="59" spans="1:21" x14ac:dyDescent="0.25">
      <c r="N59" s="11">
        <v>3</v>
      </c>
      <c r="O59" s="10" t="s">
        <v>35</v>
      </c>
      <c r="P59" s="10"/>
      <c r="Q59" s="10"/>
      <c r="R59" s="10" t="s">
        <v>36</v>
      </c>
      <c r="S59" s="10"/>
      <c r="T59" s="10"/>
      <c r="U59" s="11">
        <v>2</v>
      </c>
    </row>
    <row r="60" spans="1:21" x14ac:dyDescent="0.25">
      <c r="N60" s="10">
        <v>4</v>
      </c>
      <c r="O60" s="10" t="s">
        <v>37</v>
      </c>
      <c r="P60" s="10"/>
      <c r="Q60" s="10"/>
      <c r="R60" s="10" t="s">
        <v>39</v>
      </c>
      <c r="S60" s="10"/>
      <c r="T60" s="10"/>
      <c r="U60" s="11" t="s">
        <v>41</v>
      </c>
    </row>
    <row r="61" spans="1:21" x14ac:dyDescent="0.25">
      <c r="N61" s="10"/>
      <c r="O61" s="10" t="s">
        <v>38</v>
      </c>
      <c r="P61" s="10"/>
      <c r="Q61" s="10"/>
      <c r="R61" s="10" t="s">
        <v>40</v>
      </c>
      <c r="S61" s="10"/>
      <c r="T61" s="10"/>
      <c r="U61" s="11" t="s">
        <v>41</v>
      </c>
    </row>
    <row r="62" spans="1:21" x14ac:dyDescent="0.25">
      <c r="N62" s="10">
        <v>5</v>
      </c>
      <c r="O62" s="10" t="s">
        <v>149</v>
      </c>
      <c r="P62" s="10"/>
      <c r="Q62" s="10"/>
      <c r="R62" s="10" t="s">
        <v>42</v>
      </c>
      <c r="S62" s="10"/>
      <c r="T62" s="10"/>
      <c r="U62" s="11">
        <v>1</v>
      </c>
    </row>
    <row r="63" spans="1:21" x14ac:dyDescent="0.25">
      <c r="N63" s="10"/>
      <c r="O63" s="10" t="s">
        <v>151</v>
      </c>
      <c r="P63" s="10"/>
      <c r="Q63" s="10"/>
      <c r="R63" s="10" t="s">
        <v>43</v>
      </c>
      <c r="S63" s="10"/>
      <c r="T63" s="10"/>
      <c r="U63" s="11">
        <v>1</v>
      </c>
    </row>
    <row r="64" spans="1:21" x14ac:dyDescent="0.25">
      <c r="N64" s="10"/>
      <c r="O64" s="10" t="s">
        <v>148</v>
      </c>
      <c r="P64" s="10"/>
      <c r="Q64" s="10"/>
      <c r="R64" s="10" t="s">
        <v>34</v>
      </c>
      <c r="S64" s="10"/>
      <c r="T64" s="10"/>
      <c r="U64" s="11">
        <v>30</v>
      </c>
    </row>
    <row r="65" spans="1:21" x14ac:dyDescent="0.25">
      <c r="N65" s="10">
        <v>6</v>
      </c>
      <c r="O65" s="10" t="s">
        <v>150</v>
      </c>
      <c r="P65" s="10"/>
      <c r="Q65" s="10"/>
      <c r="R65" s="10" t="s">
        <v>42</v>
      </c>
      <c r="S65" s="10"/>
      <c r="T65" s="10"/>
      <c r="U65" s="11">
        <v>1</v>
      </c>
    </row>
    <row r="66" spans="1:21" x14ac:dyDescent="0.25">
      <c r="N66" s="10"/>
      <c r="O66" s="10" t="s">
        <v>152</v>
      </c>
      <c r="P66" s="10"/>
      <c r="Q66" s="10"/>
      <c r="R66" s="10" t="s">
        <v>43</v>
      </c>
      <c r="S66" s="10"/>
      <c r="T66" s="10"/>
      <c r="U66" s="11">
        <v>1</v>
      </c>
    </row>
    <row r="67" spans="1:21" x14ac:dyDescent="0.25">
      <c r="N67" s="10"/>
      <c r="O67" s="10" t="s">
        <v>148</v>
      </c>
      <c r="P67" s="10"/>
      <c r="Q67" s="10"/>
      <c r="R67" s="10" t="s">
        <v>34</v>
      </c>
      <c r="S67" s="10"/>
      <c r="T67" s="10"/>
      <c r="U67" s="11">
        <v>35</v>
      </c>
    </row>
    <row r="68" spans="1:21" x14ac:dyDescent="0.25">
      <c r="N68" s="10">
        <v>7</v>
      </c>
      <c r="O68" s="10"/>
      <c r="P68" s="10"/>
      <c r="Q68" s="10"/>
      <c r="R68" s="10" t="s">
        <v>42</v>
      </c>
      <c r="S68" s="10"/>
      <c r="T68" s="10"/>
      <c r="U68" s="11"/>
    </row>
    <row r="69" spans="1:21" x14ac:dyDescent="0.25">
      <c r="N69" s="10"/>
      <c r="O69" s="10"/>
      <c r="P69" s="10"/>
      <c r="Q69" s="10"/>
      <c r="R69" s="10" t="s">
        <v>43</v>
      </c>
      <c r="S69" s="10"/>
      <c r="T69" s="10"/>
      <c r="U69" s="11"/>
    </row>
    <row r="70" spans="1:21" x14ac:dyDescent="0.25">
      <c r="N70" s="10"/>
      <c r="O70" s="10"/>
      <c r="P70" s="10"/>
      <c r="Q70" s="10"/>
      <c r="R70" s="10" t="s">
        <v>34</v>
      </c>
      <c r="S70" s="10"/>
      <c r="T70" s="10"/>
      <c r="U70" s="11"/>
    </row>
    <row r="71" spans="1:21" x14ac:dyDescent="0.25">
      <c r="N71" s="10">
        <v>8</v>
      </c>
      <c r="O71" s="10"/>
      <c r="P71" s="10"/>
      <c r="Q71" s="10"/>
      <c r="R71" s="10" t="s">
        <v>42</v>
      </c>
      <c r="S71" s="10"/>
      <c r="T71" s="10"/>
      <c r="U71" s="11"/>
    </row>
    <row r="72" spans="1:21" x14ac:dyDescent="0.25">
      <c r="N72" s="10"/>
      <c r="O72" s="10"/>
      <c r="P72" s="10"/>
      <c r="Q72" s="10"/>
      <c r="R72" s="10" t="s">
        <v>43</v>
      </c>
      <c r="S72" s="10"/>
      <c r="T72" s="10"/>
      <c r="U72" s="11"/>
    </row>
    <row r="73" spans="1:21" x14ac:dyDescent="0.25">
      <c r="A73" s="12" t="s">
        <v>145</v>
      </c>
      <c r="B73" s="12"/>
      <c r="C73" s="12"/>
      <c r="D73" s="12" t="s">
        <v>146</v>
      </c>
      <c r="E73" s="12"/>
      <c r="F73" s="12"/>
      <c r="G73" s="12" t="s">
        <v>44</v>
      </c>
      <c r="H73" s="12"/>
      <c r="I73" s="12"/>
      <c r="J73" s="12"/>
      <c r="N73" s="10"/>
      <c r="O73" s="10"/>
      <c r="P73" s="10"/>
      <c r="Q73" s="10"/>
      <c r="R73" s="10" t="s">
        <v>34</v>
      </c>
      <c r="S73" s="10"/>
      <c r="T73" s="10"/>
      <c r="U73" s="11"/>
    </row>
    <row r="74" spans="1:21" x14ac:dyDescent="0.25">
      <c r="A74" s="8" t="s">
        <v>45</v>
      </c>
      <c r="B74" s="8"/>
      <c r="C74" s="8"/>
      <c r="D74" s="8" t="s">
        <v>149</v>
      </c>
      <c r="E74" s="8"/>
      <c r="F74" s="8"/>
      <c r="G74" s="8" t="s">
        <v>194</v>
      </c>
      <c r="H74" s="8"/>
      <c r="I74" s="8"/>
      <c r="J74" s="8"/>
      <c r="N74" s="10">
        <v>9</v>
      </c>
      <c r="O74" s="10"/>
      <c r="P74" s="10"/>
      <c r="Q74" s="10"/>
      <c r="R74" s="10" t="s">
        <v>42</v>
      </c>
      <c r="S74" s="10"/>
      <c r="T74" s="10"/>
      <c r="U74" s="11"/>
    </row>
    <row r="75" spans="1:21" x14ac:dyDescent="0.25">
      <c r="A75" s="8" t="s">
        <v>45</v>
      </c>
      <c r="B75" s="8"/>
      <c r="C75" s="8"/>
      <c r="D75" s="8" t="s">
        <v>150</v>
      </c>
      <c r="E75" s="8"/>
      <c r="F75" s="8"/>
      <c r="G75" s="8" t="s">
        <v>195</v>
      </c>
      <c r="H75" s="8"/>
      <c r="I75" s="8"/>
      <c r="J75" s="8"/>
      <c r="N75" s="10"/>
      <c r="O75" s="10"/>
      <c r="P75" s="10"/>
      <c r="Q75" s="10"/>
      <c r="R75" s="10" t="s">
        <v>43</v>
      </c>
      <c r="S75" s="10"/>
      <c r="T75" s="10"/>
      <c r="U75" s="11"/>
    </row>
    <row r="76" spans="1:21" x14ac:dyDescent="0.25">
      <c r="A76" s="8" t="s">
        <v>45</v>
      </c>
      <c r="B76" s="8"/>
      <c r="C76" s="8"/>
      <c r="D76" s="8" t="s">
        <v>27</v>
      </c>
      <c r="E76" s="8"/>
      <c r="F76" s="8"/>
      <c r="G76" s="8" t="s">
        <v>122</v>
      </c>
      <c r="H76" s="8"/>
      <c r="I76" s="8"/>
      <c r="J76" s="8"/>
      <c r="N76" s="10"/>
      <c r="O76" s="10"/>
      <c r="P76" s="10"/>
      <c r="Q76" s="10"/>
      <c r="R76" s="10" t="s">
        <v>34</v>
      </c>
      <c r="S76" s="10"/>
      <c r="T76" s="10"/>
      <c r="U76" s="11"/>
    </row>
    <row r="77" spans="1:21" x14ac:dyDescent="0.25">
      <c r="A77" s="8" t="s">
        <v>45</v>
      </c>
      <c r="B77" s="8"/>
      <c r="C77" s="8"/>
      <c r="D77" s="8" t="s">
        <v>27</v>
      </c>
      <c r="E77" s="8"/>
      <c r="F77" s="8"/>
      <c r="G77" s="8" t="s">
        <v>123</v>
      </c>
      <c r="H77" s="8"/>
      <c r="I77" s="8"/>
      <c r="J77" s="8"/>
      <c r="N77" s="10">
        <v>10</v>
      </c>
      <c r="O77" s="10"/>
      <c r="P77" s="10"/>
      <c r="Q77" s="10"/>
      <c r="R77" s="10" t="s">
        <v>42</v>
      </c>
      <c r="S77" s="10"/>
      <c r="T77" s="10"/>
      <c r="U77" s="11"/>
    </row>
    <row r="78" spans="1:2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N78" s="10"/>
      <c r="O78" s="10"/>
      <c r="P78" s="10"/>
      <c r="Q78" s="10"/>
      <c r="R78" s="10" t="s">
        <v>43</v>
      </c>
      <c r="S78" s="10"/>
      <c r="T78" s="10"/>
      <c r="U78" s="11"/>
    </row>
    <row r="79" spans="1:2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N79" s="10"/>
      <c r="O79" s="10"/>
      <c r="P79" s="10"/>
      <c r="Q79" s="10"/>
      <c r="R79" s="10" t="s">
        <v>34</v>
      </c>
      <c r="S79" s="10"/>
      <c r="T79" s="10"/>
      <c r="U79" s="11"/>
    </row>
    <row r="80" spans="1:2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</row>
  </sheetData>
  <mergeCells count="200">
    <mergeCell ref="A83:C83"/>
    <mergeCell ref="D83:F83"/>
    <mergeCell ref="G83:J83"/>
    <mergeCell ref="A81:C81"/>
    <mergeCell ref="D81:F81"/>
    <mergeCell ref="G81:J81"/>
    <mergeCell ref="A82:C82"/>
    <mergeCell ref="D82:F82"/>
    <mergeCell ref="G82:J82"/>
    <mergeCell ref="A79:C79"/>
    <mergeCell ref="D79:F79"/>
    <mergeCell ref="G79:J79"/>
    <mergeCell ref="A80:C80"/>
    <mergeCell ref="D80:F80"/>
    <mergeCell ref="G80:J80"/>
    <mergeCell ref="A77:C77"/>
    <mergeCell ref="D77:F77"/>
    <mergeCell ref="G77:J77"/>
    <mergeCell ref="A78:C78"/>
    <mergeCell ref="D78:F78"/>
    <mergeCell ref="G78:J78"/>
    <mergeCell ref="A75:C75"/>
    <mergeCell ref="D75:F75"/>
    <mergeCell ref="G75:J75"/>
    <mergeCell ref="A76:C76"/>
    <mergeCell ref="D76:F76"/>
    <mergeCell ref="G76:J76"/>
    <mergeCell ref="A73:C73"/>
    <mergeCell ref="D73:F73"/>
    <mergeCell ref="G73:J73"/>
    <mergeCell ref="A74:C74"/>
    <mergeCell ref="D74:F74"/>
    <mergeCell ref="G74:J74"/>
    <mergeCell ref="N77:N79"/>
    <mergeCell ref="O77:Q77"/>
    <mergeCell ref="R77:T77"/>
    <mergeCell ref="O78:Q78"/>
    <mergeCell ref="R78:T78"/>
    <mergeCell ref="O79:Q79"/>
    <mergeCell ref="R79:T79"/>
    <mergeCell ref="N74:N76"/>
    <mergeCell ref="O74:Q74"/>
    <mergeCell ref="R74:T74"/>
    <mergeCell ref="O75:Q75"/>
    <mergeCell ref="R75:T75"/>
    <mergeCell ref="O76:Q76"/>
    <mergeCell ref="R76:T76"/>
    <mergeCell ref="N71:N73"/>
    <mergeCell ref="O71:Q71"/>
    <mergeCell ref="R71:T71"/>
    <mergeCell ref="O72:Q72"/>
    <mergeCell ref="R72:T72"/>
    <mergeCell ref="O73:Q73"/>
    <mergeCell ref="R73:T73"/>
    <mergeCell ref="N68:N70"/>
    <mergeCell ref="O68:Q68"/>
    <mergeCell ref="R68:T68"/>
    <mergeCell ref="O69:Q69"/>
    <mergeCell ref="R69:T69"/>
    <mergeCell ref="O70:Q70"/>
    <mergeCell ref="R70:T70"/>
    <mergeCell ref="N65:N67"/>
    <mergeCell ref="O65:Q65"/>
    <mergeCell ref="R65:T65"/>
    <mergeCell ref="O66:Q66"/>
    <mergeCell ref="R66:T66"/>
    <mergeCell ref="O67:Q67"/>
    <mergeCell ref="R67:T67"/>
    <mergeCell ref="N62:N64"/>
    <mergeCell ref="O62:Q62"/>
    <mergeCell ref="R62:T62"/>
    <mergeCell ref="O63:Q63"/>
    <mergeCell ref="R63:T63"/>
    <mergeCell ref="O64:Q64"/>
    <mergeCell ref="R64:T64"/>
    <mergeCell ref="O58:Q58"/>
    <mergeCell ref="R58:T58"/>
    <mergeCell ref="O59:Q59"/>
    <mergeCell ref="R59:T59"/>
    <mergeCell ref="N60:N61"/>
    <mergeCell ref="O60:Q60"/>
    <mergeCell ref="R60:T60"/>
    <mergeCell ref="O61:Q61"/>
    <mergeCell ref="R61:T61"/>
    <mergeCell ref="N52:U52"/>
    <mergeCell ref="O53:Q53"/>
    <mergeCell ref="R53:T53"/>
    <mergeCell ref="N54:N57"/>
    <mergeCell ref="O54:Q54"/>
    <mergeCell ref="R54:T54"/>
    <mergeCell ref="O55:Q55"/>
    <mergeCell ref="R55:T55"/>
    <mergeCell ref="O56:Q56"/>
    <mergeCell ref="R56:T56"/>
    <mergeCell ref="O57:Q57"/>
    <mergeCell ref="R57:T57"/>
    <mergeCell ref="O44:T46"/>
    <mergeCell ref="O47:P48"/>
    <mergeCell ref="Q47:T48"/>
    <mergeCell ref="O49:T50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O16:Q16"/>
    <mergeCell ref="R16:T16"/>
    <mergeCell ref="O17:Q17"/>
    <mergeCell ref="R17:T17"/>
    <mergeCell ref="N18:N19"/>
    <mergeCell ref="O18:Q18"/>
    <mergeCell ref="R18:T18"/>
    <mergeCell ref="O19:Q19"/>
    <mergeCell ref="R19:T19"/>
    <mergeCell ref="O22:Q22"/>
    <mergeCell ref="R22:T22"/>
    <mergeCell ref="N23:N25"/>
    <mergeCell ref="O23:Q23"/>
    <mergeCell ref="R23:T23"/>
    <mergeCell ref="O24:Q24"/>
    <mergeCell ref="R24:T24"/>
    <mergeCell ref="O25:Q25"/>
    <mergeCell ref="R25:T25"/>
    <mergeCell ref="N20:N22"/>
    <mergeCell ref="O20:Q20"/>
    <mergeCell ref="R20:T20"/>
    <mergeCell ref="O21:Q21"/>
    <mergeCell ref="R21:T21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N32:N34"/>
    <mergeCell ref="O32:Q32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A34:C34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41:C41"/>
    <mergeCell ref="D41:F41"/>
    <mergeCell ref="G41:J41"/>
    <mergeCell ref="O2:T4"/>
    <mergeCell ref="O5:P6"/>
    <mergeCell ref="Q5:T6"/>
    <mergeCell ref="O7:T8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ADAPTOR</vt:lpstr>
      <vt:lpstr>P2P</vt:lpstr>
      <vt:lpstr>BOM</vt:lpstr>
      <vt:lpstr>ID</vt:lpstr>
      <vt:lpstr>Adaptor Label</vt:lpstr>
      <vt:lpstr>DRAWING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2022-12-19T18:53:17Z</dcterms:modified>
</cp:coreProperties>
</file>