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E10DB656-E14D-4CCF-9FD3-6DE4633C31FF}" xr6:coauthVersionLast="47" xr6:coauthVersionMax="47" xr10:uidLastSave="{00000000-0000-0000-0000-000000000000}"/>
  <bookViews>
    <workbookView xWindow="-120" yWindow="-120" windowWidth="29040" windowHeight="15720" tabRatio="839" activeTab="6" xr2:uid="{00000000-000D-0000-FFFF-FFFF00000000}"/>
  </bookViews>
  <sheets>
    <sheet name="INPUT" sheetId="1" r:id="rId1"/>
    <sheet name="Error Log" sheetId="8" r:id="rId2"/>
    <sheet name="Library" sheetId="12" r:id="rId3"/>
    <sheet name="P2P" sheetId="9" r:id="rId4"/>
    <sheet name="Laser Cutting List" sheetId="2" r:id="rId5"/>
    <sheet name="IDL" sheetId="11" r:id="rId6"/>
    <sheet name="BOM" sheetId="10" r:id="rId7"/>
    <sheet name="TGPS BOM" sheetId="5" r:id="rId8"/>
    <sheet name="TGPS STEP" sheetId="6" r:id="rId9"/>
    <sheet name="TGPS REFDES" sheetId="7" r:id="rId10"/>
  </sheets>
  <functionGroups builtInGroupCount="19"/>
  <definedNames>
    <definedName name="_xlnm._FilterDatabase" localSheetId="0" hidden="1">INPUT!$A$2:$K$2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H6" i="1"/>
  <c r="I5" i="1"/>
  <c r="H5" i="1"/>
  <c r="I4" i="1"/>
  <c r="H4" i="1"/>
  <c r="U15" i="1" l="1"/>
  <c r="T15" i="1" l="1"/>
  <c r="U14" i="1"/>
  <c r="T14" i="1"/>
  <c r="I3" i="1"/>
  <c r="H3" i="1"/>
</calcChain>
</file>

<file path=xl/sharedStrings.xml><?xml version="1.0" encoding="utf-8"?>
<sst xmlns="http://schemas.openxmlformats.org/spreadsheetml/2006/main" count="909" uniqueCount="214">
  <si>
    <t>Proje</t>
  </si>
  <si>
    <t>Adaptor Name</t>
  </si>
  <si>
    <t>Connector Name</t>
  </si>
  <si>
    <t>Backshell PN</t>
  </si>
  <si>
    <t>Contact Qty</t>
  </si>
  <si>
    <t>BCK Pin</t>
  </si>
  <si>
    <t>Total Pin</t>
  </si>
  <si>
    <t>Adaptor Pin</t>
  </si>
  <si>
    <t>Pin Arrangment</t>
  </si>
  <si>
    <t>Pin Group</t>
  </si>
  <si>
    <t>Contact</t>
  </si>
  <si>
    <t>ATK</t>
  </si>
  <si>
    <t>HRN_TST_ADP_650/01</t>
  </si>
  <si>
    <t>Numerical</t>
  </si>
  <si>
    <t>Con_2</t>
  </si>
  <si>
    <t>BCK_2</t>
  </si>
  <si>
    <t>N/A</t>
  </si>
  <si>
    <t>Con_3</t>
  </si>
  <si>
    <t>BCK_3</t>
  </si>
  <si>
    <t>A-x</t>
  </si>
  <si>
    <t>C_3</t>
  </si>
  <si>
    <t>Con_4</t>
  </si>
  <si>
    <t>A-b</t>
  </si>
  <si>
    <t>C_4</t>
  </si>
  <si>
    <t>DL3-60P</t>
  </si>
  <si>
    <t>DR-25</t>
  </si>
  <si>
    <t>M27500</t>
  </si>
  <si>
    <t>CM-SCE 1/2</t>
  </si>
  <si>
    <t>CM-SCE 1/4</t>
  </si>
  <si>
    <t>Variables</t>
  </si>
  <si>
    <t>1 tane bile error varsa execute etmesin</t>
  </si>
  <si>
    <t>check error  butonu olsun ama execute basınca userformdaki errorleri kontrol etsin 1 tane bile varsa duracak</t>
  </si>
  <si>
    <t>STEPNO</t>
  </si>
  <si>
    <t>LFROM</t>
  </si>
  <si>
    <t>SUBPARTNO</t>
  </si>
  <si>
    <t>REFDES</t>
  </si>
  <si>
    <t>QTY</t>
  </si>
  <si>
    <t>REFERENCE</t>
  </si>
  <si>
    <t>PARTNO</t>
  </si>
  <si>
    <t>PLANT</t>
  </si>
  <si>
    <t>TV</t>
  </si>
  <si>
    <t>FROM</t>
  </si>
  <si>
    <t>TO</t>
  </si>
  <si>
    <t>QUANTITY</t>
  </si>
  <si>
    <t>UOM</t>
  </si>
  <si>
    <t>M/B</t>
  </si>
  <si>
    <t>110900-0008</t>
  </si>
  <si>
    <t>204-0016-000</t>
  </si>
  <si>
    <t>249-2060-000</t>
  </si>
  <si>
    <t>030-2410-003</t>
  </si>
  <si>
    <t>cable_length_adap_side</t>
  </si>
  <si>
    <t>cable_length_connector_side</t>
  </si>
  <si>
    <t>tubing_pn</t>
  </si>
  <si>
    <t>cable_pn</t>
  </si>
  <si>
    <t>harness_id_pn</t>
  </si>
  <si>
    <t>harness_id_qty</t>
  </si>
  <si>
    <t>connector_id_pn</t>
  </si>
  <si>
    <t>adaptor_connector_pn</t>
  </si>
  <si>
    <t>adaptor_actuating_handle_kit_pn</t>
  </si>
  <si>
    <t>adaptor_junction_shell_kit_pn</t>
  </si>
  <si>
    <t>adaptor_contact_pn</t>
  </si>
  <si>
    <t>DL1-156P</t>
  </si>
  <si>
    <t>adaptor_chip_pn</t>
  </si>
  <si>
    <t>adaptor_chip_qty</t>
  </si>
  <si>
    <t>adaptor_pin_arrangment</t>
  </si>
  <si>
    <t>,A1,B1,C1,D1,E1,F1,G1,H1,J1,K1,A2,B2,C2,D2,E2,F2,G2,H2,J2,K2,A3,B3,C3,D3,E3,F3,G3,H3,J3,K3,A4,B4,C4,D4,E4,F4,G4,H4,J4,K4,A5,B5,C5,D5,E5,F5,G5,H5,J5,K5,A6,B6,C6,D6,E6,F6,G6,H6,J6,K6,</t>
  </si>
  <si>
    <t>adaptor_pin_qty</t>
  </si>
  <si>
    <t>cable_length_main_bundle</t>
  </si>
  <si>
    <t>FROM CONNECTOR</t>
  </si>
  <si>
    <t>FROM PIN</t>
  </si>
  <si>
    <t>TO CONNECTOR</t>
  </si>
  <si>
    <t>TO PIN</t>
  </si>
  <si>
    <t>CABLE NAME</t>
  </si>
  <si>
    <t>P2P</t>
  </si>
  <si>
    <t>HRN_TST_ADP_XXX/01</t>
  </si>
  <si>
    <t>HRN_TST_ADP_650/01-01</t>
  </si>
  <si>
    <t>HRN_TST_ADP_650/01-02</t>
  </si>
  <si>
    <t>HRN_TST_ADP_650/01-03</t>
  </si>
  <si>
    <t>ADAP_1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</si>
  <si>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</si>
  <si>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</si>
  <si>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</si>
  <si>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</si>
  <si>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</si>
  <si>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</si>
  <si>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</si>
  <si>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</si>
  <si>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</si>
  <si>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</si>
  <si>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</si>
  <si>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</si>
  <si>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</si>
  <si>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</si>
  <si>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</si>
  <si>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</si>
  <si>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</si>
  <si>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</si>
  <si>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</si>
  <si>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</si>
  <si>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</si>
  <si>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</si>
  <si>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</si>
  <si>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A4</t>
  </si>
  <si>
    <t>B4</t>
  </si>
  <si>
    <t>C4</t>
  </si>
  <si>
    <t>D4</t>
  </si>
  <si>
    <t>E4</t>
  </si>
  <si>
    <t>F4</t>
  </si>
  <si>
    <t>G4</t>
  </si>
  <si>
    <t>A5</t>
  </si>
  <si>
    <t>B5</t>
  </si>
  <si>
    <t>C5</t>
  </si>
  <si>
    <t>D5</t>
  </si>
  <si>
    <t>E5</t>
  </si>
  <si>
    <t>F5</t>
  </si>
  <si>
    <t>G5</t>
  </si>
  <si>
    <t>A6</t>
  </si>
  <si>
    <t>B6</t>
  </si>
  <si>
    <t>C6</t>
  </si>
  <si>
    <t>D6</t>
  </si>
  <si>
    <t>E6</t>
  </si>
  <si>
    <t>F6</t>
  </si>
  <si>
    <t>G6</t>
  </si>
  <si>
    <t>B</t>
  </si>
  <si>
    <t>,A1,A2,A3,A4,A5,A6,B1,B2,B3,B4,B5,B6,C1,C2,C3,C4,C5,C6,D1,D2,D3,D4,D5,D6,E1,E2,E3,E4,E5,E6,F1,F2,F3,F4,F5,F6,G1,G2,G3,G4,G5,G6,H1,H2,H3,H4,H5,H6,J1,J2,J3,J4,J5,J6,K1,K2,K3,K4,K5,K6,</t>
  </si>
  <si>
    <t>W650-001</t>
  </si>
  <si>
    <t>W650-002</t>
  </si>
  <si>
    <t>W650-003</t>
  </si>
  <si>
    <t>W650-004</t>
  </si>
  <si>
    <t>W650-005</t>
  </si>
  <si>
    <t>W650-006</t>
  </si>
  <si>
    <t>W650-007</t>
  </si>
  <si>
    <t>W650-008</t>
  </si>
  <si>
    <t>W650-009</t>
  </si>
  <si>
    <t>W650-010</t>
  </si>
  <si>
    <t>W650-011</t>
  </si>
  <si>
    <t>W650-012</t>
  </si>
  <si>
    <t>W650-013</t>
  </si>
  <si>
    <t>W650-014</t>
  </si>
  <si>
    <t>W650-015</t>
  </si>
  <si>
    <t>W650-016</t>
  </si>
  <si>
    <t>W650-017</t>
  </si>
  <si>
    <t>W650-018</t>
  </si>
  <si>
    <t>W650-019</t>
  </si>
  <si>
    <t>W650-020</t>
  </si>
  <si>
    <t>W650-021</t>
  </si>
  <si>
    <t>W650-022</t>
  </si>
  <si>
    <t>W650-023</t>
  </si>
  <si>
    <t>W650-024</t>
  </si>
  <si>
    <t>W650-025</t>
  </si>
  <si>
    <t>W650-026</t>
  </si>
  <si>
    <t>W650-027</t>
  </si>
  <si>
    <t>W650-028</t>
  </si>
  <si>
    <t>W650-029</t>
  </si>
  <si>
    <t>W650-030</t>
  </si>
  <si>
    <t>W650-031</t>
  </si>
  <si>
    <t>W650-032</t>
  </si>
  <si>
    <t>W650-033</t>
  </si>
  <si>
    <t>W650-034</t>
  </si>
  <si>
    <t>W650-035</t>
  </si>
  <si>
    <t>W650-036</t>
  </si>
  <si>
    <t>W650-037</t>
  </si>
  <si>
    <t>W650-038</t>
  </si>
  <si>
    <t>W650-039</t>
  </si>
  <si>
    <t>W650-040</t>
  </si>
  <si>
    <t>W650-041</t>
  </si>
  <si>
    <t>W650-042</t>
  </si>
  <si>
    <t>W650-043</t>
  </si>
  <si>
    <t>W650-044</t>
  </si>
  <si>
    <t>BCK</t>
  </si>
  <si>
    <t>X</t>
  </si>
  <si>
    <t>ADAP_1 / HRN_TST_ADP_650/01-01</t>
  </si>
  <si>
    <t>Rev.A</t>
  </si>
  <si>
    <t>ADAP_1 / HRN_TST_ADP_650/01-02</t>
  </si>
  <si>
    <t>LABEL PN</t>
  </si>
  <si>
    <t>CONNECTOR PN</t>
  </si>
  <si>
    <t>CM-SCE-TP-1/4-4H-4</t>
  </si>
  <si>
    <t>Con_8</t>
  </si>
  <si>
    <t>Con_9</t>
  </si>
  <si>
    <t>HARNESS ID</t>
  </si>
  <si>
    <t>HRN_TST_ADP_650/01-04</t>
  </si>
  <si>
    <t>ADAP_1 / HRN_TST_ADP_650/01-03</t>
  </si>
  <si>
    <t>ADAP_1 / HRN_TST_ADP_650/01-04</t>
  </si>
  <si>
    <t>PRINT</t>
  </si>
  <si>
    <t>HRB</t>
  </si>
  <si>
    <t>YHB</t>
  </si>
  <si>
    <t>PC</t>
  </si>
  <si>
    <t>MT</t>
  </si>
  <si>
    <t>Con_1</t>
  </si>
  <si>
    <t>BCK_1</t>
  </si>
  <si>
    <t>BCK_4</t>
  </si>
  <si>
    <t>tgps sheet isimleri</t>
  </si>
  <si>
    <t>PART LIST</t>
  </si>
  <si>
    <t>ITEM</t>
  </si>
  <si>
    <t>PART NO</t>
  </si>
  <si>
    <t>PART NAME</t>
  </si>
  <si>
    <t>DL3-60P CONNECTOR</t>
  </si>
  <si>
    <t>ACTUATING HANDLE KIT</t>
  </si>
  <si>
    <t>JUNCTION SHELL KIT</t>
  </si>
  <si>
    <t>CONTACT</t>
  </si>
  <si>
    <t>ID LABEL</t>
  </si>
  <si>
    <t>M22759 Series</t>
  </si>
  <si>
    <t>CABLE</t>
  </si>
  <si>
    <t>AR</t>
  </si>
  <si>
    <t>M23053/5 Series</t>
  </si>
  <si>
    <t>INSULATION SLEEVE</t>
  </si>
  <si>
    <t>CONNECTOR</t>
  </si>
  <si>
    <t>BCK_8</t>
  </si>
  <si>
    <t>BACKSHELL</t>
  </si>
  <si>
    <t>C_8</t>
  </si>
  <si>
    <t>BCK_9</t>
  </si>
  <si>
    <t>C_9</t>
  </si>
  <si>
    <t>CM-SCE-TP-1/2</t>
  </si>
  <si>
    <t>CM-SCE-TP-1/2-4H-9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</si>
</sst>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5" borderId="13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0</xdr:row>
          <xdr:rowOff>152400</xdr:rowOff>
        </xdr:from>
        <xdr:to>
          <xdr:col>1</xdr:col>
          <xdr:colOff>790575</xdr:colOff>
          <xdr:row>0</xdr:row>
          <xdr:rowOff>914400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152400</xdr:rowOff>
        </xdr:from>
        <xdr:to>
          <xdr:col>3</xdr:col>
          <xdr:colOff>104775</xdr:colOff>
          <xdr:row>0</xdr:row>
          <xdr:rowOff>914400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ERRORS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0</xdr:row>
          <xdr:rowOff>152400</xdr:rowOff>
        </xdr:from>
        <xdr:to>
          <xdr:col>4</xdr:col>
          <xdr:colOff>200025</xdr:colOff>
          <xdr:row>0</xdr:row>
          <xdr:rowOff>914400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4"/>
  <sheetViews>
    <sheetView workbookViewId="0">
      <selection activeCell="E8" sqref="E8"/>
    </sheetView>
  </sheetViews>
  <sheetFormatPr defaultColWidth="5.85546875" defaultRowHeight="15" x14ac:dyDescent="0.25"/>
  <cols>
    <col min="1" max="1" width="5.7109375" bestFit="1" customWidth="1"/>
    <col min="2" max="2" width="20.7109375" bestFit="1" customWidth="1"/>
    <col min="3" max="3" width="16" bestFit="1" customWidth="1"/>
    <col min="4" max="4" width="12.28515625" bestFit="1" customWidth="1"/>
    <col min="5" max="5" width="7.7109375" bestFit="1" customWidth="1"/>
    <col min="6" max="6" width="11.28515625" bestFit="1" customWidth="1"/>
    <col min="7" max="7" width="7.7109375" bestFit="1" customWidth="1"/>
    <col min="8" max="8" width="8.7109375" bestFit="1" customWidth="1"/>
    <col min="9" max="9" width="11.42578125" bestFit="1" customWidth="1"/>
    <col min="10" max="10" width="15" bestFit="1" customWidth="1"/>
    <col min="11" max="11" width="9.85546875" bestFit="1" customWidth="1"/>
    <col min="13" max="13" width="98.85546875" bestFit="1" customWidth="1"/>
  </cols>
  <sheetData>
    <row r="1" spans="1:23" ht="85.5" customHeight="1" thickBot="1" x14ac:dyDescent="0.3"/>
    <row r="2" spans="1:23" ht="16.5" customHeight="1" thickBot="1" x14ac:dyDescent="0.3">
      <c r="A2" s="1" t="s">
        <v>0</v>
      </c>
      <c r="B2" s="2" t="s">
        <v>1</v>
      </c>
      <c r="C2" s="2" t="s">
        <v>2</v>
      </c>
      <c r="D2" s="2" t="s">
        <v>3</v>
      </c>
      <c r="E2" s="3" t="s">
        <v>10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M2" s="27" t="s">
        <v>191</v>
      </c>
    </row>
    <row r="3" spans="1:23" x14ac:dyDescent="0.25">
      <c r="A3" s="4" t="s">
        <v>11</v>
      </c>
      <c r="B3" s="5" t="s">
        <v>12</v>
      </c>
      <c r="C3" s="4" t="s">
        <v>188</v>
      </c>
      <c r="D3" s="4" t="s">
        <v>189</v>
      </c>
      <c r="E3" s="4" t="s">
        <v>81</v>
      </c>
      <c r="F3" s="4">
        <v>10</v>
      </c>
      <c r="G3" s="4">
        <v>1</v>
      </c>
      <c r="H3" s="4">
        <f>F3+G3</f>
        <v>11</v>
      </c>
      <c r="I3" s="4">
        <f>SUMIF(C:C,#REF!,H:H)</f>
        <v>0</v>
      </c>
      <c r="J3" s="4" t="s">
        <v>13</v>
      </c>
      <c r="K3" s="4">
        <v>0</v>
      </c>
    </row>
    <row r="4" spans="1:23" x14ac:dyDescent="0.25">
      <c r="A4" s="4" t="s">
        <v>11</v>
      </c>
      <c r="B4" s="5" t="s">
        <v>12</v>
      </c>
      <c r="C4" s="4" t="s">
        <v>14</v>
      </c>
      <c r="D4" s="4" t="s">
        <v>15</v>
      </c>
      <c r="E4" s="4" t="s">
        <v>16</v>
      </c>
      <c r="F4" s="4">
        <v>10</v>
      </c>
      <c r="G4" s="4">
        <v>1</v>
      </c>
      <c r="H4" s="4">
        <f>F4+G4</f>
        <v>11</v>
      </c>
      <c r="I4" s="4">
        <f>SUMIF(C:C,#REF!,H:H)</f>
        <v>0</v>
      </c>
      <c r="J4" s="4" t="s">
        <v>13</v>
      </c>
      <c r="K4" s="4">
        <v>0</v>
      </c>
      <c r="M4" t="s">
        <v>30</v>
      </c>
    </row>
    <row r="5" spans="1:23" x14ac:dyDescent="0.25">
      <c r="A5" s="4" t="s">
        <v>11</v>
      </c>
      <c r="B5" s="5" t="s">
        <v>12</v>
      </c>
      <c r="C5" s="4" t="s">
        <v>17</v>
      </c>
      <c r="D5" s="4" t="s">
        <v>18</v>
      </c>
      <c r="E5" s="4" t="s">
        <v>16</v>
      </c>
      <c r="F5" s="4">
        <v>10</v>
      </c>
      <c r="G5" s="4">
        <v>1</v>
      </c>
      <c r="H5" s="4">
        <f>F5+G5</f>
        <v>11</v>
      </c>
      <c r="I5" s="4">
        <f>SUMIF(C:C,#REF!,H:H)</f>
        <v>0</v>
      </c>
      <c r="J5" s="4" t="s">
        <v>13</v>
      </c>
      <c r="K5" s="4">
        <v>0</v>
      </c>
      <c r="M5" t="s">
        <v>31</v>
      </c>
    </row>
    <row r="6" spans="1:23" x14ac:dyDescent="0.25">
      <c r="A6" s="4" t="s">
        <v>11</v>
      </c>
      <c r="B6" s="5" t="s">
        <v>12</v>
      </c>
      <c r="C6" s="4" t="s">
        <v>21</v>
      </c>
      <c r="D6" s="4" t="s">
        <v>190</v>
      </c>
      <c r="E6" s="4" t="s">
        <v>16</v>
      </c>
      <c r="F6" s="4">
        <v>10</v>
      </c>
      <c r="G6" s="4">
        <v>1</v>
      </c>
      <c r="H6" s="4">
        <f>F6+G6</f>
        <v>11</v>
      </c>
      <c r="I6" s="4">
        <f>SUMIF(C:C,#REF!,H:H)</f>
        <v>0</v>
      </c>
      <c r="J6" s="4" t="s">
        <v>13</v>
      </c>
      <c r="K6" s="4">
        <v>0</v>
      </c>
    </row>
    <row r="7" spans="1:23" x14ac:dyDescent="0.25">
      <c r="A7" s="4"/>
      <c r="B7" s="5"/>
      <c r="C7" s="4"/>
      <c r="D7" s="4"/>
      <c r="E7" s="4"/>
      <c r="F7" s="4"/>
      <c r="G7" s="4"/>
      <c r="H7" s="4"/>
      <c r="I7" s="4"/>
      <c r="J7" s="4"/>
      <c r="K7" s="4"/>
    </row>
    <row r="8" spans="1:23" x14ac:dyDescent="0.25">
      <c r="A8" s="4"/>
      <c r="B8" s="5"/>
      <c r="C8" s="4"/>
      <c r="D8" s="4"/>
      <c r="E8" s="4"/>
      <c r="F8" s="4"/>
      <c r="G8" s="4"/>
      <c r="H8" s="4"/>
      <c r="I8" s="4"/>
      <c r="J8" s="4"/>
      <c r="K8" s="4"/>
    </row>
    <row r="9" spans="1:23" x14ac:dyDescent="0.25">
      <c r="A9" s="4"/>
      <c r="B9" s="5"/>
      <c r="C9" s="4"/>
      <c r="D9" s="4"/>
      <c r="E9" s="4"/>
      <c r="F9" s="4"/>
      <c r="G9" s="4"/>
      <c r="H9" s="4"/>
      <c r="I9" s="4"/>
      <c r="J9" s="4"/>
      <c r="K9" s="4"/>
    </row>
    <row r="10" spans="1:23" x14ac:dyDescent="0.25">
      <c r="A10" s="4"/>
      <c r="B10" s="5"/>
      <c r="C10" s="4"/>
      <c r="D10" s="4"/>
      <c r="E10" s="4"/>
      <c r="F10" s="4"/>
      <c r="G10" s="4"/>
      <c r="H10" s="4"/>
      <c r="I10" s="4"/>
      <c r="J10" s="4"/>
      <c r="K10" s="4"/>
    </row>
    <row r="11" spans="1:23" x14ac:dyDescent="0.25">
      <c r="A11" s="4"/>
      <c r="B11" s="5"/>
      <c r="C11" s="4"/>
      <c r="D11" s="4"/>
      <c r="E11" s="4"/>
      <c r="F11" s="4"/>
      <c r="G11" s="4"/>
      <c r="H11" s="4"/>
      <c r="I11" s="4"/>
      <c r="J11" s="4"/>
      <c r="K11" s="4"/>
    </row>
    <row r="12" spans="1:23" x14ac:dyDescent="0.25">
      <c r="A12" s="4"/>
      <c r="B12" s="5"/>
      <c r="C12" s="4"/>
      <c r="D12" s="4"/>
      <c r="E12" s="4"/>
      <c r="F12" s="4"/>
      <c r="G12" s="4"/>
      <c r="H12" s="4"/>
      <c r="I12" s="4"/>
      <c r="J12" s="4"/>
      <c r="K12" s="4"/>
    </row>
    <row r="13" spans="1:23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  <c r="K13" s="4"/>
    </row>
    <row r="14" spans="1:23" x14ac:dyDescent="0.25">
      <c r="A14" s="4"/>
      <c r="B14" s="5"/>
      <c r="C14" s="4"/>
      <c r="D14" s="4"/>
      <c r="E14" s="4"/>
      <c r="F14" s="4"/>
      <c r="G14" s="4"/>
      <c r="H14" s="4"/>
      <c r="I14" s="4"/>
      <c r="J14" s="4"/>
      <c r="K14" s="4"/>
      <c r="M14" s="5" t="s">
        <v>11</v>
      </c>
      <c r="N14" s="5" t="s">
        <v>12</v>
      </c>
      <c r="O14" s="4" t="s">
        <v>17</v>
      </c>
      <c r="P14" s="4" t="s">
        <v>18</v>
      </c>
      <c r="Q14" s="4" t="s">
        <v>20</v>
      </c>
      <c r="R14" s="5">
        <v>45</v>
      </c>
      <c r="S14" s="5">
        <v>1</v>
      </c>
      <c r="T14" s="5">
        <f>R14+S14</f>
        <v>46</v>
      </c>
      <c r="U14" s="5">
        <f>SUMIF(C:C,#REF!,H:H)</f>
        <v>0</v>
      </c>
      <c r="V14" s="5" t="s">
        <v>19</v>
      </c>
      <c r="W14" s="5">
        <v>2</v>
      </c>
    </row>
    <row r="15" spans="1:23" x14ac:dyDescent="0.25">
      <c r="A15" s="4"/>
      <c r="B15" s="5"/>
      <c r="C15" s="4"/>
      <c r="D15" s="4"/>
      <c r="E15" s="4"/>
      <c r="F15" s="4"/>
      <c r="G15" s="4"/>
      <c r="H15" s="4"/>
      <c r="I15" s="4"/>
      <c r="J15" s="4"/>
      <c r="K15" s="4"/>
      <c r="M15" s="5" t="s">
        <v>11</v>
      </c>
      <c r="N15" s="5" t="s">
        <v>12</v>
      </c>
      <c r="O15" s="4" t="s">
        <v>21</v>
      </c>
      <c r="P15" s="4" t="s">
        <v>16</v>
      </c>
      <c r="Q15" s="4" t="s">
        <v>23</v>
      </c>
      <c r="R15" s="5">
        <v>25</v>
      </c>
      <c r="S15" s="5">
        <v>1</v>
      </c>
      <c r="T15" s="5">
        <f>R15+S15</f>
        <v>26</v>
      </c>
      <c r="U15" s="5">
        <f>SUMIF(C:C,#REF!,H:H)</f>
        <v>0</v>
      </c>
      <c r="V15" s="5" t="s">
        <v>22</v>
      </c>
      <c r="W15" s="5">
        <v>1</v>
      </c>
    </row>
    <row r="16" spans="1:23" x14ac:dyDescent="0.25">
      <c r="A16" s="4"/>
      <c r="B16" s="5"/>
      <c r="C16" s="4"/>
      <c r="D16" s="4"/>
      <c r="E16" s="4"/>
      <c r="F16" s="4"/>
      <c r="G16" s="4"/>
      <c r="H16" s="4"/>
      <c r="I16" s="4"/>
      <c r="J16" s="4"/>
      <c r="K16" s="4"/>
    </row>
    <row r="17" spans="1:11" x14ac:dyDescent="0.25">
      <c r="A17" s="4"/>
      <c r="B17" s="5"/>
      <c r="C17" s="4"/>
      <c r="D17" s="4"/>
      <c r="E17" s="4"/>
      <c r="F17" s="4"/>
      <c r="G17" s="4"/>
      <c r="H17" s="4"/>
      <c r="I17" s="4"/>
      <c r="J17" s="4"/>
      <c r="K17" s="4"/>
    </row>
    <row r="18" spans="1:11" x14ac:dyDescent="0.25">
      <c r="A18" s="4"/>
      <c r="B18" s="5"/>
      <c r="C18" s="4"/>
      <c r="D18" s="4"/>
      <c r="E18" s="4"/>
      <c r="F18" s="4"/>
      <c r="G18" s="4"/>
      <c r="H18" s="4"/>
      <c r="I18" s="4"/>
      <c r="J18" s="4"/>
      <c r="K18" s="4"/>
    </row>
    <row r="19" spans="1:11" x14ac:dyDescent="0.25">
      <c r="A19" s="4"/>
      <c r="B19" s="5"/>
      <c r="C19" s="4"/>
      <c r="D19" s="4"/>
      <c r="E19" s="4"/>
      <c r="F19" s="4"/>
      <c r="G19" s="4"/>
      <c r="H19" s="4"/>
      <c r="I19" s="4"/>
      <c r="J19" s="4"/>
      <c r="K19" s="4"/>
    </row>
    <row r="20" spans="1:11" x14ac:dyDescent="0.25">
      <c r="A20" s="4"/>
      <c r="B20" s="5"/>
      <c r="C20" s="4"/>
      <c r="D20" s="4"/>
      <c r="E20" s="4"/>
      <c r="F20" s="4"/>
      <c r="G20" s="4"/>
      <c r="H20" s="4"/>
      <c r="I20" s="4"/>
      <c r="J20" s="4"/>
      <c r="K20" s="4"/>
    </row>
    <row r="21" spans="1:11" x14ac:dyDescent="0.25">
      <c r="A21" s="4"/>
      <c r="B21" s="5"/>
      <c r="C21" s="4"/>
      <c r="D21" s="4"/>
      <c r="E21" s="4"/>
      <c r="F21" s="4"/>
      <c r="G21" s="4"/>
      <c r="H21" s="4"/>
      <c r="I21" s="4"/>
      <c r="J21" s="4"/>
      <c r="K21" s="4"/>
    </row>
    <row r="22" spans="1:11" x14ac:dyDescent="0.25">
      <c r="A22" s="4"/>
      <c r="B22" s="5"/>
      <c r="C22" s="4"/>
      <c r="D22" s="4"/>
      <c r="E22" s="4"/>
      <c r="F22" s="4"/>
      <c r="G22" s="4"/>
      <c r="H22" s="4"/>
      <c r="I22" s="4"/>
      <c r="J22" s="4"/>
      <c r="K22" s="4"/>
    </row>
    <row r="23" spans="1:11" x14ac:dyDescent="0.25">
      <c r="A23" s="4"/>
      <c r="B23" s="5"/>
      <c r="C23" s="4"/>
      <c r="D23" s="4"/>
      <c r="E23" s="4"/>
      <c r="F23" s="4"/>
      <c r="G23" s="4"/>
      <c r="H23" s="4"/>
      <c r="I23" s="4"/>
      <c r="J23" s="4"/>
      <c r="K23" s="4"/>
    </row>
    <row r="24" spans="1:11" x14ac:dyDescent="0.25">
      <c r="A24" s="4"/>
      <c r="B24" s="5"/>
      <c r="C24" s="4"/>
      <c r="D24" s="4"/>
      <c r="E24" s="4"/>
      <c r="F24" s="4"/>
      <c r="G24" s="4"/>
      <c r="H24" s="4"/>
      <c r="I24" s="4"/>
      <c r="J24" s="4"/>
      <c r="K24" s="4"/>
    </row>
  </sheetData>
  <sortState xmlns:xlrd2="http://schemas.microsoft.com/office/spreadsheetml/2017/richdata2" ref="A3:K7">
    <sortCondition ref="B3:B7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219075</xdr:colOff>
                    <xdr:row>0</xdr:row>
                    <xdr:rowOff>152400</xdr:rowOff>
                  </from>
                  <to>
                    <xdr:col>1</xdr:col>
                    <xdr:colOff>790575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104775</xdr:colOff>
                    <xdr:row>0</xdr:row>
                    <xdr:rowOff>152400</xdr:rowOff>
                  </from>
                  <to>
                    <xdr:col>3</xdr:col>
                    <xdr:colOff>104775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1_Click">
                <anchor moveWithCells="1" sizeWithCells="1">
                  <from>
                    <xdr:col>3</xdr:col>
                    <xdr:colOff>314325</xdr:colOff>
                    <xdr:row>0</xdr:row>
                    <xdr:rowOff>152400</xdr:rowOff>
                  </from>
                  <to>
                    <xdr:col>4</xdr:col>
                    <xdr:colOff>200025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CF91-8832-4483-AC26-B24B7089113A}">
  <sheetPr codeName="Sheet8"/>
  <dimension ref="A1:C1"/>
  <sheetViews>
    <sheetView workbookViewId="0">
      <selection sqref="A1:XFD1048576"/>
    </sheetView>
  </sheetViews>
  <sheetFormatPr defaultRowHeight="15" x14ac:dyDescent="0.25"/>
  <cols>
    <col min="1" max="3" width="9.140625" style="6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0CE50-9C71-4024-8DA3-74758D76C344}">
  <sheetPr codeName="Sheet12"/>
  <dimension ref="A1:G17"/>
  <sheetViews>
    <sheetView workbookViewId="0">
      <selection activeCell="G12" sqref="G12"/>
    </sheetView>
  </sheetViews>
  <sheetFormatPr defaultRowHeight="15" x14ac:dyDescent="0.25"/>
  <cols>
    <col min="1" max="1" width="30.28515625" style="6" bestFit="1" customWidth="1"/>
    <col min="2" max="2" width="25.140625" style="6" customWidth="1"/>
    <col min="3" max="3" width="28.42578125" style="6" customWidth="1"/>
    <col min="4" max="6" width="9.140625" style="6"/>
    <col min="7" max="7" width="41.85546875" style="6" customWidth="1"/>
    <col min="8" max="16384" width="9.140625" style="6"/>
  </cols>
  <sheetData>
    <row r="1" spans="1:7" x14ac:dyDescent="0.25">
      <c r="A1" s="8" t="s">
        <v>29</v>
      </c>
      <c r="B1" s="8" t="s">
        <v>24</v>
      </c>
      <c r="C1" s="8" t="s">
        <v>61</v>
      </c>
    </row>
    <row r="2" spans="1:7" x14ac:dyDescent="0.25">
      <c r="A2" s="9" t="s">
        <v>50</v>
      </c>
      <c r="B2" s="5">
        <v>30</v>
      </c>
      <c r="C2" s="5"/>
    </row>
    <row r="3" spans="1:7" x14ac:dyDescent="0.25">
      <c r="A3" s="9" t="s">
        <v>51</v>
      </c>
      <c r="B3" s="5">
        <v>150</v>
      </c>
      <c r="C3" s="5"/>
    </row>
    <row r="4" spans="1:7" x14ac:dyDescent="0.25">
      <c r="A4" s="9" t="s">
        <v>67</v>
      </c>
      <c r="B4" s="5">
        <v>20</v>
      </c>
      <c r="C4" s="5"/>
    </row>
    <row r="5" spans="1:7" x14ac:dyDescent="0.25">
      <c r="A5" s="9" t="s">
        <v>52</v>
      </c>
      <c r="B5" s="5" t="s">
        <v>25</v>
      </c>
      <c r="C5" s="5"/>
    </row>
    <row r="6" spans="1:7" x14ac:dyDescent="0.25">
      <c r="A6" s="9" t="s">
        <v>53</v>
      </c>
      <c r="B6" s="5" t="s">
        <v>26</v>
      </c>
      <c r="C6" s="5"/>
    </row>
    <row r="7" spans="1:7" x14ac:dyDescent="0.25">
      <c r="A7" s="9" t="s">
        <v>54</v>
      </c>
      <c r="B7" s="5" t="s">
        <v>213</v>
      </c>
      <c r="C7" s="5"/>
    </row>
    <row r="8" spans="1:7" x14ac:dyDescent="0.25">
      <c r="A8" s="9" t="s">
        <v>55</v>
      </c>
      <c r="B8" s="5">
        <v>1</v>
      </c>
      <c r="C8" s="5"/>
    </row>
    <row r="9" spans="1:7" x14ac:dyDescent="0.25">
      <c r="A9" s="9" t="s">
        <v>56</v>
      </c>
      <c r="B9" s="5" t="s">
        <v>176</v>
      </c>
      <c r="C9" s="5"/>
    </row>
    <row r="10" spans="1:7" x14ac:dyDescent="0.25">
      <c r="A10" s="9" t="s">
        <v>57</v>
      </c>
      <c r="B10" s="5" t="s">
        <v>46</v>
      </c>
      <c r="C10" s="5"/>
    </row>
    <row r="11" spans="1:7" x14ac:dyDescent="0.25">
      <c r="A11" s="9" t="s">
        <v>58</v>
      </c>
      <c r="B11" s="5" t="s">
        <v>47</v>
      </c>
      <c r="C11" s="5"/>
    </row>
    <row r="12" spans="1:7" x14ac:dyDescent="0.25">
      <c r="A12" s="9" t="s">
        <v>59</v>
      </c>
      <c r="B12" s="5" t="s">
        <v>48</v>
      </c>
      <c r="C12" s="5"/>
    </row>
    <row r="13" spans="1:7" x14ac:dyDescent="0.25">
      <c r="A13" s="9" t="s">
        <v>60</v>
      </c>
      <c r="B13" s="5" t="s">
        <v>49</v>
      </c>
      <c r="C13" s="5"/>
    </row>
    <row r="14" spans="1:7" x14ac:dyDescent="0.25">
      <c r="A14" s="9" t="s">
        <v>62</v>
      </c>
      <c r="B14" s="5" t="s">
        <v>16</v>
      </c>
      <c r="C14" s="5"/>
    </row>
    <row r="15" spans="1:7" x14ac:dyDescent="0.25">
      <c r="A15" s="9" t="s">
        <v>63</v>
      </c>
      <c r="B15" s="5">
        <v>0</v>
      </c>
      <c r="C15" s="5"/>
    </row>
    <row r="16" spans="1:7" ht="159.75" customHeight="1" x14ac:dyDescent="0.25">
      <c r="A16" s="9" t="s">
        <v>64</v>
      </c>
      <c r="B16" s="18" t="s">
        <v>124</v>
      </c>
      <c r="C16" s="5"/>
      <c r="G16" s="7" t="s">
        <v>65</v>
      </c>
    </row>
    <row r="17" spans="1:3" x14ac:dyDescent="0.25">
      <c r="A17" s="9" t="s">
        <v>66</v>
      </c>
      <c r="B17" s="5">
        <v>60</v>
      </c>
      <c r="C17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17AB3-8D4C-4981-ABBA-F584B1989C45}">
  <sheetPr codeName="Sheet9">
    <pageSetUpPr fitToPage="1"/>
  </sheetPr>
  <dimension ref="A1:E63"/>
  <sheetViews>
    <sheetView zoomScale="70" zoomScaleNormal="70" workbookViewId="0">
      <selection sqref="A1:E2"/>
    </sheetView>
  </sheetViews>
  <sheetFormatPr defaultRowHeight="15" x14ac:dyDescent="0.25"/>
  <cols>
    <col min="1" max="1" width="28.42578125" style="6" customWidth="1"/>
    <col min="2" max="2" width="16.7109375" style="6" customWidth="1"/>
    <col min="3" max="3" width="28.42578125" style="6" customWidth="1"/>
    <col min="4" max="4" width="16.7109375" style="6" customWidth="1"/>
    <col min="5" max="5" width="21" style="6" customWidth="1"/>
    <col min="6" max="16384" width="9.140625" style="6"/>
  </cols>
  <sheetData>
    <row r="1" spans="1:5" ht="27" customHeight="1" x14ac:dyDescent="0.25">
      <c r="A1" s="19" t="s">
        <v>73</v>
      </c>
      <c r="B1" s="20"/>
      <c r="C1" s="20"/>
      <c r="D1" s="20"/>
      <c r="E1" s="21"/>
    </row>
    <row r="2" spans="1:5" ht="27" customHeight="1" thickBot="1" x14ac:dyDescent="0.3">
      <c r="A2" s="22" t="s">
        <v>74</v>
      </c>
      <c r="B2" s="23"/>
      <c r="C2" s="23"/>
      <c r="D2" s="23"/>
      <c r="E2" s="24"/>
    </row>
    <row r="3" spans="1:5" x14ac:dyDescent="0.25">
      <c r="A3" s="15" t="s">
        <v>68</v>
      </c>
      <c r="B3" s="16" t="s">
        <v>69</v>
      </c>
      <c r="C3" s="16" t="s">
        <v>70</v>
      </c>
      <c r="D3" s="16" t="s">
        <v>71</v>
      </c>
      <c r="E3" s="17" t="s">
        <v>72</v>
      </c>
    </row>
    <row r="4" spans="1:5" x14ac:dyDescent="0.25">
      <c r="A4" s="10" t="s">
        <v>78</v>
      </c>
      <c r="B4" s="5" t="s">
        <v>79</v>
      </c>
      <c r="C4" s="5" t="s">
        <v>75</v>
      </c>
      <c r="D4" s="5">
        <v>1</v>
      </c>
      <c r="E4" s="11" t="s">
        <v>125</v>
      </c>
    </row>
    <row r="5" spans="1:5" x14ac:dyDescent="0.25">
      <c r="A5" s="10" t="s">
        <v>78</v>
      </c>
      <c r="B5" s="5" t="s">
        <v>87</v>
      </c>
      <c r="C5" s="5" t="s">
        <v>75</v>
      </c>
      <c r="D5" s="5">
        <v>2</v>
      </c>
      <c r="E5" s="11" t="s">
        <v>126</v>
      </c>
    </row>
    <row r="6" spans="1:5" x14ac:dyDescent="0.25">
      <c r="A6" s="10" t="s">
        <v>78</v>
      </c>
      <c r="B6" s="5" t="s">
        <v>95</v>
      </c>
      <c r="C6" s="5" t="s">
        <v>75</v>
      </c>
      <c r="D6" s="5">
        <v>3</v>
      </c>
      <c r="E6" s="11" t="s">
        <v>127</v>
      </c>
    </row>
    <row r="7" spans="1:5" x14ac:dyDescent="0.25">
      <c r="A7" s="10" t="s">
        <v>78</v>
      </c>
      <c r="B7" s="5" t="s">
        <v>102</v>
      </c>
      <c r="C7" s="5" t="s">
        <v>75</v>
      </c>
      <c r="D7" s="5">
        <v>4</v>
      </c>
      <c r="E7" s="11" t="s">
        <v>128</v>
      </c>
    </row>
    <row r="8" spans="1:5" x14ac:dyDescent="0.25">
      <c r="A8" s="10" t="s">
        <v>78</v>
      </c>
      <c r="B8" s="5" t="s">
        <v>109</v>
      </c>
      <c r="C8" s="5" t="s">
        <v>75</v>
      </c>
      <c r="D8" s="5">
        <v>5</v>
      </c>
      <c r="E8" s="11" t="s">
        <v>129</v>
      </c>
    </row>
    <row r="9" spans="1:5" x14ac:dyDescent="0.25">
      <c r="A9" s="10" t="s">
        <v>78</v>
      </c>
      <c r="B9" s="5" t="s">
        <v>116</v>
      </c>
      <c r="C9" s="5" t="s">
        <v>75</v>
      </c>
      <c r="D9" s="5">
        <v>6</v>
      </c>
      <c r="E9" s="11" t="s">
        <v>130</v>
      </c>
    </row>
    <row r="10" spans="1:5" x14ac:dyDescent="0.25">
      <c r="A10" s="10" t="s">
        <v>78</v>
      </c>
      <c r="B10" s="5" t="s">
        <v>80</v>
      </c>
      <c r="C10" s="5" t="s">
        <v>75</v>
      </c>
      <c r="D10" s="5">
        <v>7</v>
      </c>
      <c r="E10" s="11" t="s">
        <v>131</v>
      </c>
    </row>
    <row r="11" spans="1:5" x14ac:dyDescent="0.25">
      <c r="A11" s="10" t="s">
        <v>78</v>
      </c>
      <c r="B11" s="5" t="s">
        <v>88</v>
      </c>
      <c r="C11" s="5" t="s">
        <v>75</v>
      </c>
      <c r="D11" s="5">
        <v>8</v>
      </c>
      <c r="E11" s="11" t="s">
        <v>132</v>
      </c>
    </row>
    <row r="12" spans="1:5" x14ac:dyDescent="0.25">
      <c r="A12" s="10" t="s">
        <v>78</v>
      </c>
      <c r="B12" s="5" t="s">
        <v>96</v>
      </c>
      <c r="C12" s="5" t="s">
        <v>75</v>
      </c>
      <c r="D12" s="5">
        <v>9</v>
      </c>
      <c r="E12" s="11" t="s">
        <v>133</v>
      </c>
    </row>
    <row r="13" spans="1:5" x14ac:dyDescent="0.25">
      <c r="A13" s="10" t="s">
        <v>78</v>
      </c>
      <c r="B13" s="5" t="s">
        <v>103</v>
      </c>
      <c r="C13" s="5" t="s">
        <v>75</v>
      </c>
      <c r="D13" s="5">
        <v>10</v>
      </c>
      <c r="E13" s="11" t="s">
        <v>134</v>
      </c>
    </row>
    <row r="14" spans="1:5" x14ac:dyDescent="0.25">
      <c r="A14" s="10" t="s">
        <v>78</v>
      </c>
      <c r="B14" s="5" t="s">
        <v>110</v>
      </c>
      <c r="C14" s="5" t="s">
        <v>75</v>
      </c>
      <c r="D14" s="5" t="s">
        <v>169</v>
      </c>
      <c r="E14" s="11" t="s">
        <v>135</v>
      </c>
    </row>
    <row r="15" spans="1:5" x14ac:dyDescent="0.25">
      <c r="A15" s="10" t="s">
        <v>78</v>
      </c>
      <c r="B15" s="5" t="s">
        <v>117</v>
      </c>
      <c r="C15" s="5" t="s">
        <v>76</v>
      </c>
      <c r="D15" s="5">
        <v>1</v>
      </c>
      <c r="E15" s="11" t="s">
        <v>136</v>
      </c>
    </row>
    <row r="16" spans="1:5" x14ac:dyDescent="0.25">
      <c r="A16" s="10" t="s">
        <v>78</v>
      </c>
      <c r="B16" s="5" t="s">
        <v>81</v>
      </c>
      <c r="C16" s="5" t="s">
        <v>76</v>
      </c>
      <c r="D16" s="5">
        <v>2</v>
      </c>
      <c r="E16" s="11" t="s">
        <v>137</v>
      </c>
    </row>
    <row r="17" spans="1:5" x14ac:dyDescent="0.25">
      <c r="A17" s="10" t="s">
        <v>78</v>
      </c>
      <c r="B17" s="5" t="s">
        <v>89</v>
      </c>
      <c r="C17" s="5" t="s">
        <v>76</v>
      </c>
      <c r="D17" s="5">
        <v>3</v>
      </c>
      <c r="E17" s="11" t="s">
        <v>138</v>
      </c>
    </row>
    <row r="18" spans="1:5" x14ac:dyDescent="0.25">
      <c r="A18" s="10" t="s">
        <v>78</v>
      </c>
      <c r="B18" s="5" t="s">
        <v>97</v>
      </c>
      <c r="C18" s="5" t="s">
        <v>76</v>
      </c>
      <c r="D18" s="5">
        <v>4</v>
      </c>
      <c r="E18" s="11" t="s">
        <v>139</v>
      </c>
    </row>
    <row r="19" spans="1:5" x14ac:dyDescent="0.25">
      <c r="A19" s="10" t="s">
        <v>78</v>
      </c>
      <c r="B19" s="5" t="s">
        <v>104</v>
      </c>
      <c r="C19" s="5" t="s">
        <v>76</v>
      </c>
      <c r="D19" s="5">
        <v>5</v>
      </c>
      <c r="E19" s="11" t="s">
        <v>140</v>
      </c>
    </row>
    <row r="20" spans="1:5" x14ac:dyDescent="0.25">
      <c r="A20" s="10" t="s">
        <v>78</v>
      </c>
      <c r="B20" s="5" t="s">
        <v>111</v>
      </c>
      <c r="C20" s="5" t="s">
        <v>76</v>
      </c>
      <c r="D20" s="5">
        <v>6</v>
      </c>
      <c r="E20" s="11" t="s">
        <v>141</v>
      </c>
    </row>
    <row r="21" spans="1:5" x14ac:dyDescent="0.25">
      <c r="A21" s="10" t="s">
        <v>78</v>
      </c>
      <c r="B21" s="5" t="s">
        <v>118</v>
      </c>
      <c r="C21" s="5" t="s">
        <v>76</v>
      </c>
      <c r="D21" s="5">
        <v>7</v>
      </c>
      <c r="E21" s="11" t="s">
        <v>142</v>
      </c>
    </row>
    <row r="22" spans="1:5" x14ac:dyDescent="0.25">
      <c r="A22" s="10" t="s">
        <v>78</v>
      </c>
      <c r="B22" s="5" t="s">
        <v>82</v>
      </c>
      <c r="C22" s="5" t="s">
        <v>76</v>
      </c>
      <c r="D22" s="5">
        <v>8</v>
      </c>
      <c r="E22" s="11" t="s">
        <v>143</v>
      </c>
    </row>
    <row r="23" spans="1:5" x14ac:dyDescent="0.25">
      <c r="A23" s="10" t="s">
        <v>78</v>
      </c>
      <c r="B23" s="5" t="s">
        <v>90</v>
      </c>
      <c r="C23" s="5" t="s">
        <v>76</v>
      </c>
      <c r="D23" s="5">
        <v>9</v>
      </c>
      <c r="E23" s="11" t="s">
        <v>144</v>
      </c>
    </row>
    <row r="24" spans="1:5" x14ac:dyDescent="0.25">
      <c r="A24" s="10" t="s">
        <v>78</v>
      </c>
      <c r="B24" s="5" t="s">
        <v>98</v>
      </c>
      <c r="C24" s="5" t="s">
        <v>76</v>
      </c>
      <c r="D24" s="5">
        <v>10</v>
      </c>
      <c r="E24" s="11" t="s">
        <v>145</v>
      </c>
    </row>
    <row r="25" spans="1:5" x14ac:dyDescent="0.25">
      <c r="A25" s="10" t="s">
        <v>78</v>
      </c>
      <c r="B25" s="5" t="s">
        <v>105</v>
      </c>
      <c r="C25" s="5" t="s">
        <v>76</v>
      </c>
      <c r="D25" s="5" t="s">
        <v>169</v>
      </c>
      <c r="E25" s="11" t="s">
        <v>146</v>
      </c>
    </row>
    <row r="26" spans="1:5" x14ac:dyDescent="0.25">
      <c r="A26" s="10" t="s">
        <v>78</v>
      </c>
      <c r="B26" s="5" t="s">
        <v>112</v>
      </c>
      <c r="C26" s="5" t="s">
        <v>77</v>
      </c>
      <c r="D26" s="5">
        <v>1</v>
      </c>
      <c r="E26" s="11" t="s">
        <v>147</v>
      </c>
    </row>
    <row r="27" spans="1:5" x14ac:dyDescent="0.25">
      <c r="A27" s="10" t="s">
        <v>78</v>
      </c>
      <c r="B27" s="5" t="s">
        <v>119</v>
      </c>
      <c r="C27" s="5" t="s">
        <v>77</v>
      </c>
      <c r="D27" s="5">
        <v>2</v>
      </c>
      <c r="E27" s="11" t="s">
        <v>148</v>
      </c>
    </row>
    <row r="28" spans="1:5" x14ac:dyDescent="0.25">
      <c r="A28" s="10" t="s">
        <v>78</v>
      </c>
      <c r="B28" s="5" t="s">
        <v>83</v>
      </c>
      <c r="C28" s="5" t="s">
        <v>77</v>
      </c>
      <c r="D28" s="5">
        <v>3</v>
      </c>
      <c r="E28" s="11" t="s">
        <v>149</v>
      </c>
    </row>
    <row r="29" spans="1:5" x14ac:dyDescent="0.25">
      <c r="A29" s="10" t="s">
        <v>78</v>
      </c>
      <c r="B29" s="5" t="s">
        <v>91</v>
      </c>
      <c r="C29" s="5" t="s">
        <v>77</v>
      </c>
      <c r="D29" s="5">
        <v>4</v>
      </c>
      <c r="E29" s="11" t="s">
        <v>150</v>
      </c>
    </row>
    <row r="30" spans="1:5" x14ac:dyDescent="0.25">
      <c r="A30" s="10" t="s">
        <v>78</v>
      </c>
      <c r="B30" s="5" t="s">
        <v>99</v>
      </c>
      <c r="C30" s="5" t="s">
        <v>77</v>
      </c>
      <c r="D30" s="5">
        <v>5</v>
      </c>
      <c r="E30" s="11" t="s">
        <v>151</v>
      </c>
    </row>
    <row r="31" spans="1:5" x14ac:dyDescent="0.25">
      <c r="A31" s="10" t="s">
        <v>78</v>
      </c>
      <c r="B31" s="5" t="s">
        <v>106</v>
      </c>
      <c r="C31" s="5" t="s">
        <v>77</v>
      </c>
      <c r="D31" s="5">
        <v>6</v>
      </c>
      <c r="E31" s="11" t="s">
        <v>152</v>
      </c>
    </row>
    <row r="32" spans="1:5" x14ac:dyDescent="0.25">
      <c r="A32" s="10" t="s">
        <v>78</v>
      </c>
      <c r="B32" s="5" t="s">
        <v>113</v>
      </c>
      <c r="C32" s="5" t="s">
        <v>77</v>
      </c>
      <c r="D32" s="5">
        <v>7</v>
      </c>
      <c r="E32" s="11" t="s">
        <v>153</v>
      </c>
    </row>
    <row r="33" spans="1:5" x14ac:dyDescent="0.25">
      <c r="A33" s="10" t="s">
        <v>78</v>
      </c>
      <c r="B33" s="5" t="s">
        <v>120</v>
      </c>
      <c r="C33" s="5" t="s">
        <v>77</v>
      </c>
      <c r="D33" s="5">
        <v>8</v>
      </c>
      <c r="E33" s="11" t="s">
        <v>154</v>
      </c>
    </row>
    <row r="34" spans="1:5" x14ac:dyDescent="0.25">
      <c r="A34" s="10" t="s">
        <v>78</v>
      </c>
      <c r="B34" s="5" t="s">
        <v>84</v>
      </c>
      <c r="C34" s="5" t="s">
        <v>77</v>
      </c>
      <c r="D34" s="5">
        <v>9</v>
      </c>
      <c r="E34" s="11" t="s">
        <v>155</v>
      </c>
    </row>
    <row r="35" spans="1:5" x14ac:dyDescent="0.25">
      <c r="A35" s="10" t="s">
        <v>78</v>
      </c>
      <c r="B35" s="5" t="s">
        <v>92</v>
      </c>
      <c r="C35" s="5" t="s">
        <v>77</v>
      </c>
      <c r="D35" s="5">
        <v>10</v>
      </c>
      <c r="E35" s="11" t="s">
        <v>156</v>
      </c>
    </row>
    <row r="36" spans="1:5" x14ac:dyDescent="0.25">
      <c r="A36" s="10" t="s">
        <v>78</v>
      </c>
      <c r="B36" s="5" t="s">
        <v>100</v>
      </c>
      <c r="C36" s="5" t="s">
        <v>77</v>
      </c>
      <c r="D36" s="5" t="s">
        <v>169</v>
      </c>
      <c r="E36" s="11" t="s">
        <v>157</v>
      </c>
    </row>
    <row r="37" spans="1:5" x14ac:dyDescent="0.25">
      <c r="A37" s="10" t="s">
        <v>78</v>
      </c>
      <c r="B37" s="5" t="s">
        <v>107</v>
      </c>
      <c r="C37" s="5" t="s">
        <v>180</v>
      </c>
      <c r="D37" s="5">
        <v>1</v>
      </c>
      <c r="E37" s="11" t="s">
        <v>158</v>
      </c>
    </row>
    <row r="38" spans="1:5" x14ac:dyDescent="0.25">
      <c r="A38" s="10" t="s">
        <v>78</v>
      </c>
      <c r="B38" s="5" t="s">
        <v>114</v>
      </c>
      <c r="C38" s="5" t="s">
        <v>180</v>
      </c>
      <c r="D38" s="5">
        <v>2</v>
      </c>
      <c r="E38" s="11" t="s">
        <v>159</v>
      </c>
    </row>
    <row r="39" spans="1:5" x14ac:dyDescent="0.25">
      <c r="A39" s="10" t="s">
        <v>78</v>
      </c>
      <c r="B39" s="5" t="s">
        <v>121</v>
      </c>
      <c r="C39" s="5" t="s">
        <v>180</v>
      </c>
      <c r="D39" s="5">
        <v>3</v>
      </c>
      <c r="E39" s="11" t="s">
        <v>160</v>
      </c>
    </row>
    <row r="40" spans="1:5" x14ac:dyDescent="0.25">
      <c r="A40" s="10" t="s">
        <v>78</v>
      </c>
      <c r="B40" s="5" t="s">
        <v>85</v>
      </c>
      <c r="C40" s="5" t="s">
        <v>180</v>
      </c>
      <c r="D40" s="5">
        <v>4</v>
      </c>
      <c r="E40" s="11" t="s">
        <v>161</v>
      </c>
    </row>
    <row r="41" spans="1:5" x14ac:dyDescent="0.25">
      <c r="A41" s="10" t="s">
        <v>78</v>
      </c>
      <c r="B41" s="5" t="s">
        <v>93</v>
      </c>
      <c r="C41" s="5" t="s">
        <v>180</v>
      </c>
      <c r="D41" s="5">
        <v>5</v>
      </c>
      <c r="E41" s="11" t="s">
        <v>162</v>
      </c>
    </row>
    <row r="42" spans="1:5" x14ac:dyDescent="0.25">
      <c r="A42" s="10" t="s">
        <v>78</v>
      </c>
      <c r="B42" s="5" t="s">
        <v>101</v>
      </c>
      <c r="C42" s="5" t="s">
        <v>180</v>
      </c>
      <c r="D42" s="5">
        <v>6</v>
      </c>
      <c r="E42" s="11" t="s">
        <v>163</v>
      </c>
    </row>
    <row r="43" spans="1:5" x14ac:dyDescent="0.25">
      <c r="A43" s="10" t="s">
        <v>78</v>
      </c>
      <c r="B43" s="5" t="s">
        <v>108</v>
      </c>
      <c r="C43" s="5" t="s">
        <v>180</v>
      </c>
      <c r="D43" s="5">
        <v>7</v>
      </c>
      <c r="E43" s="11" t="s">
        <v>164</v>
      </c>
    </row>
    <row r="44" spans="1:5" x14ac:dyDescent="0.25">
      <c r="A44" s="10" t="s">
        <v>78</v>
      </c>
      <c r="B44" s="5" t="s">
        <v>115</v>
      </c>
      <c r="C44" s="5" t="s">
        <v>180</v>
      </c>
      <c r="D44" s="5">
        <v>8</v>
      </c>
      <c r="E44" s="11" t="s">
        <v>165</v>
      </c>
    </row>
    <row r="45" spans="1:5" x14ac:dyDescent="0.25">
      <c r="A45" s="10" t="s">
        <v>78</v>
      </c>
      <c r="B45" s="5" t="s">
        <v>122</v>
      </c>
      <c r="C45" s="5" t="s">
        <v>180</v>
      </c>
      <c r="D45" s="5">
        <v>9</v>
      </c>
      <c r="E45" s="11" t="s">
        <v>166</v>
      </c>
    </row>
    <row r="46" spans="1:5" x14ac:dyDescent="0.25">
      <c r="A46" s="10" t="s">
        <v>78</v>
      </c>
      <c r="B46" s="5" t="s">
        <v>86</v>
      </c>
      <c r="C46" s="5" t="s">
        <v>180</v>
      </c>
      <c r="D46" s="5">
        <v>10</v>
      </c>
      <c r="E46" s="11" t="s">
        <v>167</v>
      </c>
    </row>
    <row r="47" spans="1:5" x14ac:dyDescent="0.25">
      <c r="A47" s="10" t="s">
        <v>78</v>
      </c>
      <c r="B47" s="5" t="s">
        <v>94</v>
      </c>
      <c r="C47" s="5" t="s">
        <v>180</v>
      </c>
      <c r="D47" s="5" t="s">
        <v>169</v>
      </c>
      <c r="E47" s="11" t="s">
        <v>168</v>
      </c>
    </row>
    <row r="48" spans="1:5" x14ac:dyDescent="0.25">
      <c r="A48" s="10"/>
      <c r="B48" s="5"/>
      <c r="C48" s="5"/>
      <c r="D48" s="5"/>
      <c r="E48" s="11"/>
    </row>
    <row r="49" spans="1:5" x14ac:dyDescent="0.25">
      <c r="A49" s="10"/>
      <c r="B49" s="5"/>
      <c r="C49" s="5"/>
      <c r="D49" s="5"/>
      <c r="E49" s="11"/>
    </row>
    <row r="50" spans="1:5" x14ac:dyDescent="0.25">
      <c r="A50" s="10"/>
      <c r="B50" s="5"/>
      <c r="C50" s="5"/>
      <c r="D50" s="5"/>
      <c r="E50" s="11"/>
    </row>
    <row r="51" spans="1:5" x14ac:dyDescent="0.25">
      <c r="A51" s="10"/>
      <c r="B51" s="5"/>
      <c r="C51" s="5"/>
      <c r="D51" s="5"/>
      <c r="E51" s="11"/>
    </row>
    <row r="52" spans="1:5" x14ac:dyDescent="0.25">
      <c r="A52" s="10"/>
      <c r="B52" s="5"/>
      <c r="C52" s="5"/>
      <c r="D52" s="5"/>
      <c r="E52" s="11"/>
    </row>
    <row r="53" spans="1:5" x14ac:dyDescent="0.25">
      <c r="A53" s="10"/>
      <c r="B53" s="5"/>
      <c r="C53" s="5"/>
      <c r="D53" s="5"/>
      <c r="E53" s="11"/>
    </row>
    <row r="54" spans="1:5" x14ac:dyDescent="0.25">
      <c r="A54" s="10"/>
      <c r="B54" s="5"/>
      <c r="C54" s="5"/>
      <c r="D54" s="5"/>
      <c r="E54" s="11"/>
    </row>
    <row r="55" spans="1:5" x14ac:dyDescent="0.25">
      <c r="A55" s="10"/>
      <c r="B55" s="5"/>
      <c r="C55" s="5"/>
      <c r="D55" s="5"/>
      <c r="E55" s="11"/>
    </row>
    <row r="56" spans="1:5" x14ac:dyDescent="0.25">
      <c r="A56" s="10"/>
      <c r="B56" s="5"/>
      <c r="C56" s="5"/>
      <c r="D56" s="5"/>
      <c r="E56" s="11"/>
    </row>
    <row r="57" spans="1:5" x14ac:dyDescent="0.25">
      <c r="A57" s="10"/>
      <c r="B57" s="5"/>
      <c r="C57" s="5"/>
      <c r="D57" s="5"/>
      <c r="E57" s="11"/>
    </row>
    <row r="58" spans="1:5" x14ac:dyDescent="0.25">
      <c r="A58" s="10"/>
      <c r="B58" s="5"/>
      <c r="C58" s="5"/>
      <c r="D58" s="5"/>
      <c r="E58" s="11"/>
    </row>
    <row r="59" spans="1:5" x14ac:dyDescent="0.25">
      <c r="A59" s="10"/>
      <c r="B59" s="5"/>
      <c r="C59" s="5"/>
      <c r="D59" s="5"/>
      <c r="E59" s="11"/>
    </row>
    <row r="60" spans="1:5" x14ac:dyDescent="0.25">
      <c r="A60" s="10"/>
      <c r="B60" s="5"/>
      <c r="C60" s="5"/>
      <c r="D60" s="5"/>
      <c r="E60" s="11"/>
    </row>
    <row r="61" spans="1:5" x14ac:dyDescent="0.25">
      <c r="A61" s="10"/>
      <c r="B61" s="5"/>
      <c r="C61" s="5"/>
      <c r="D61" s="5"/>
      <c r="E61" s="11"/>
    </row>
    <row r="62" spans="1:5" x14ac:dyDescent="0.25">
      <c r="A62" s="10"/>
      <c r="B62" s="5"/>
      <c r="C62" s="5"/>
      <c r="D62" s="5"/>
      <c r="E62" s="11"/>
    </row>
    <row r="63" spans="1:5" ht="15.75" thickBot="1" x14ac:dyDescent="0.3">
      <c r="A63" s="12"/>
      <c r="B63" s="13"/>
      <c r="C63" s="13"/>
      <c r="D63" s="13"/>
      <c r="E63" s="14"/>
    </row>
  </sheetData>
  <mergeCells count="2">
    <mergeCell ref="A1:E1"/>
    <mergeCell ref="A2:E2"/>
  </mergeCells>
  <phoneticPr fontId="4" type="noConversion"/>
  <pageMargins left="0.7" right="0.7" top="0.75" bottom="0.75" header="0.3" footer="0.3"/>
  <pageSetup paperSize="9" scale="78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9A8A-16A2-46ED-92A6-7D99801E7455}">
  <sheetPr codeName="Sheet2"/>
  <dimension ref="A1:H45"/>
  <sheetViews>
    <sheetView workbookViewId="0">
      <selection sqref="A1:XFD1048576"/>
    </sheetView>
  </sheetViews>
  <sheetFormatPr defaultColWidth="9.7109375" defaultRowHeight="15" x14ac:dyDescent="0.25"/>
  <cols>
    <col min="1" max="1" width="20.7109375" bestFit="1" customWidth="1"/>
    <col min="2" max="2" width="7.7109375" bestFit="1" customWidth="1"/>
    <col min="3" max="3" width="2.140625" bestFit="1" customWidth="1"/>
    <col min="4" max="4" width="4.42578125" bestFit="1" customWidth="1"/>
    <col min="5" max="5" width="9.5703125" bestFit="1" customWidth="1"/>
    <col min="6" max="6" width="4" bestFit="1" customWidth="1"/>
    <col min="7" max="7" width="32.5703125" bestFit="1" customWidth="1"/>
    <col min="8" max="8" width="6.140625" bestFit="1" customWidth="1"/>
  </cols>
  <sheetData>
    <row r="1" spans="1:8" x14ac:dyDescent="0.25">
      <c r="A1" t="s">
        <v>11</v>
      </c>
    </row>
    <row r="2" spans="1:8" x14ac:dyDescent="0.25">
      <c r="A2" t="s">
        <v>12</v>
      </c>
      <c r="B2" t="s">
        <v>26</v>
      </c>
      <c r="C2" t="s">
        <v>170</v>
      </c>
      <c r="D2" t="s">
        <v>11</v>
      </c>
      <c r="E2" t="s">
        <v>125</v>
      </c>
      <c r="F2">
        <v>210</v>
      </c>
      <c r="G2" t="s">
        <v>171</v>
      </c>
      <c r="H2" t="s">
        <v>172</v>
      </c>
    </row>
    <row r="3" spans="1:8" x14ac:dyDescent="0.25">
      <c r="A3" t="s">
        <v>12</v>
      </c>
      <c r="B3" t="s">
        <v>26</v>
      </c>
      <c r="C3" t="s">
        <v>170</v>
      </c>
      <c r="D3" t="s">
        <v>11</v>
      </c>
      <c r="E3" t="s">
        <v>126</v>
      </c>
      <c r="F3">
        <v>210</v>
      </c>
      <c r="G3" t="s">
        <v>171</v>
      </c>
      <c r="H3" t="s">
        <v>172</v>
      </c>
    </row>
    <row r="4" spans="1:8" x14ac:dyDescent="0.25">
      <c r="A4" t="s">
        <v>12</v>
      </c>
      <c r="B4" t="s">
        <v>26</v>
      </c>
      <c r="C4" t="s">
        <v>170</v>
      </c>
      <c r="D4" t="s">
        <v>11</v>
      </c>
      <c r="E4" t="s">
        <v>127</v>
      </c>
      <c r="F4">
        <v>210</v>
      </c>
      <c r="G4" t="s">
        <v>171</v>
      </c>
      <c r="H4" t="s">
        <v>172</v>
      </c>
    </row>
    <row r="5" spans="1:8" x14ac:dyDescent="0.25">
      <c r="A5" t="s">
        <v>12</v>
      </c>
      <c r="B5" t="s">
        <v>26</v>
      </c>
      <c r="C5" t="s">
        <v>170</v>
      </c>
      <c r="D5" t="s">
        <v>11</v>
      </c>
      <c r="E5" t="s">
        <v>128</v>
      </c>
      <c r="F5">
        <v>210</v>
      </c>
      <c r="G5" t="s">
        <v>171</v>
      </c>
      <c r="H5" t="s">
        <v>172</v>
      </c>
    </row>
    <row r="6" spans="1:8" x14ac:dyDescent="0.25">
      <c r="A6" t="s">
        <v>12</v>
      </c>
      <c r="B6" t="s">
        <v>26</v>
      </c>
      <c r="C6" t="s">
        <v>170</v>
      </c>
      <c r="D6" t="s">
        <v>11</v>
      </c>
      <c r="E6" t="s">
        <v>129</v>
      </c>
      <c r="F6">
        <v>210</v>
      </c>
      <c r="G6" t="s">
        <v>171</v>
      </c>
      <c r="H6" t="s">
        <v>172</v>
      </c>
    </row>
    <row r="7" spans="1:8" x14ac:dyDescent="0.25">
      <c r="A7" t="s">
        <v>12</v>
      </c>
      <c r="B7" t="s">
        <v>26</v>
      </c>
      <c r="C7" t="s">
        <v>170</v>
      </c>
      <c r="D7" t="s">
        <v>11</v>
      </c>
      <c r="E7" t="s">
        <v>130</v>
      </c>
      <c r="F7">
        <v>210</v>
      </c>
      <c r="G7" t="s">
        <v>171</v>
      </c>
      <c r="H7" t="s">
        <v>172</v>
      </c>
    </row>
    <row r="8" spans="1:8" x14ac:dyDescent="0.25">
      <c r="A8" t="s">
        <v>12</v>
      </c>
      <c r="B8" t="s">
        <v>26</v>
      </c>
      <c r="C8" t="s">
        <v>170</v>
      </c>
      <c r="D8" t="s">
        <v>11</v>
      </c>
      <c r="E8" t="s">
        <v>131</v>
      </c>
      <c r="F8">
        <v>210</v>
      </c>
      <c r="G8" t="s">
        <v>171</v>
      </c>
      <c r="H8" t="s">
        <v>172</v>
      </c>
    </row>
    <row r="9" spans="1:8" x14ac:dyDescent="0.25">
      <c r="A9" t="s">
        <v>12</v>
      </c>
      <c r="B9" t="s">
        <v>26</v>
      </c>
      <c r="C9" t="s">
        <v>170</v>
      </c>
      <c r="D9" t="s">
        <v>11</v>
      </c>
      <c r="E9" t="s">
        <v>132</v>
      </c>
      <c r="F9">
        <v>210</v>
      </c>
      <c r="G9" t="s">
        <v>171</v>
      </c>
      <c r="H9" t="s">
        <v>172</v>
      </c>
    </row>
    <row r="10" spans="1:8" x14ac:dyDescent="0.25">
      <c r="A10" t="s">
        <v>12</v>
      </c>
      <c r="B10" t="s">
        <v>26</v>
      </c>
      <c r="C10" t="s">
        <v>170</v>
      </c>
      <c r="D10" t="s">
        <v>11</v>
      </c>
      <c r="E10" t="s">
        <v>133</v>
      </c>
      <c r="F10">
        <v>210</v>
      </c>
      <c r="G10" t="s">
        <v>171</v>
      </c>
      <c r="H10" t="s">
        <v>172</v>
      </c>
    </row>
    <row r="11" spans="1:8" x14ac:dyDescent="0.25">
      <c r="A11" t="s">
        <v>12</v>
      </c>
      <c r="B11" t="s">
        <v>26</v>
      </c>
      <c r="C11" t="s">
        <v>170</v>
      </c>
      <c r="D11" t="s">
        <v>11</v>
      </c>
      <c r="E11" t="s">
        <v>134</v>
      </c>
      <c r="F11">
        <v>210</v>
      </c>
      <c r="G11" t="s">
        <v>171</v>
      </c>
      <c r="H11" t="s">
        <v>172</v>
      </c>
    </row>
    <row r="12" spans="1:8" x14ac:dyDescent="0.25">
      <c r="A12" t="s">
        <v>12</v>
      </c>
      <c r="B12" t="s">
        <v>26</v>
      </c>
      <c r="C12" t="s">
        <v>170</v>
      </c>
      <c r="D12" t="s">
        <v>11</v>
      </c>
      <c r="E12" t="s">
        <v>135</v>
      </c>
      <c r="F12">
        <v>210</v>
      </c>
      <c r="G12" t="s">
        <v>171</v>
      </c>
      <c r="H12" t="s">
        <v>172</v>
      </c>
    </row>
    <row r="13" spans="1:8" x14ac:dyDescent="0.25">
      <c r="A13" t="s">
        <v>12</v>
      </c>
      <c r="B13" t="s">
        <v>26</v>
      </c>
      <c r="C13" t="s">
        <v>170</v>
      </c>
      <c r="D13" t="s">
        <v>11</v>
      </c>
      <c r="E13" t="s">
        <v>136</v>
      </c>
      <c r="F13">
        <v>210</v>
      </c>
      <c r="G13" t="s">
        <v>173</v>
      </c>
      <c r="H13" t="s">
        <v>172</v>
      </c>
    </row>
    <row r="14" spans="1:8" x14ac:dyDescent="0.25">
      <c r="A14" t="s">
        <v>12</v>
      </c>
      <c r="B14" t="s">
        <v>26</v>
      </c>
      <c r="C14" t="s">
        <v>170</v>
      </c>
      <c r="D14" t="s">
        <v>11</v>
      </c>
      <c r="E14" t="s">
        <v>137</v>
      </c>
      <c r="F14">
        <v>210</v>
      </c>
      <c r="G14" t="s">
        <v>173</v>
      </c>
      <c r="H14" t="s">
        <v>172</v>
      </c>
    </row>
    <row r="15" spans="1:8" x14ac:dyDescent="0.25">
      <c r="A15" t="s">
        <v>12</v>
      </c>
      <c r="B15" t="s">
        <v>26</v>
      </c>
      <c r="C15" t="s">
        <v>170</v>
      </c>
      <c r="D15" t="s">
        <v>11</v>
      </c>
      <c r="E15" t="s">
        <v>138</v>
      </c>
      <c r="F15">
        <v>210</v>
      </c>
      <c r="G15" t="s">
        <v>173</v>
      </c>
      <c r="H15" t="s">
        <v>172</v>
      </c>
    </row>
    <row r="16" spans="1:8" x14ac:dyDescent="0.25">
      <c r="A16" t="s">
        <v>12</v>
      </c>
      <c r="B16" t="s">
        <v>26</v>
      </c>
      <c r="C16" t="s">
        <v>170</v>
      </c>
      <c r="D16" t="s">
        <v>11</v>
      </c>
      <c r="E16" t="s">
        <v>139</v>
      </c>
      <c r="F16">
        <v>210</v>
      </c>
      <c r="G16" t="s">
        <v>173</v>
      </c>
      <c r="H16" t="s">
        <v>172</v>
      </c>
    </row>
    <row r="17" spans="1:8" x14ac:dyDescent="0.25">
      <c r="A17" t="s">
        <v>12</v>
      </c>
      <c r="B17" t="s">
        <v>26</v>
      </c>
      <c r="C17" t="s">
        <v>170</v>
      </c>
      <c r="D17" t="s">
        <v>11</v>
      </c>
      <c r="E17" t="s">
        <v>140</v>
      </c>
      <c r="F17">
        <v>210</v>
      </c>
      <c r="G17" t="s">
        <v>173</v>
      </c>
      <c r="H17" t="s">
        <v>172</v>
      </c>
    </row>
    <row r="18" spans="1:8" x14ac:dyDescent="0.25">
      <c r="A18" t="s">
        <v>12</v>
      </c>
      <c r="B18" t="s">
        <v>26</v>
      </c>
      <c r="C18" t="s">
        <v>170</v>
      </c>
      <c r="D18" t="s">
        <v>11</v>
      </c>
      <c r="E18" t="s">
        <v>141</v>
      </c>
      <c r="F18">
        <v>210</v>
      </c>
      <c r="G18" t="s">
        <v>173</v>
      </c>
      <c r="H18" t="s">
        <v>172</v>
      </c>
    </row>
    <row r="19" spans="1:8" x14ac:dyDescent="0.25">
      <c r="A19" t="s">
        <v>12</v>
      </c>
      <c r="B19" t="s">
        <v>26</v>
      </c>
      <c r="C19" t="s">
        <v>170</v>
      </c>
      <c r="D19" t="s">
        <v>11</v>
      </c>
      <c r="E19" t="s">
        <v>142</v>
      </c>
      <c r="F19">
        <v>210</v>
      </c>
      <c r="G19" t="s">
        <v>173</v>
      </c>
      <c r="H19" t="s">
        <v>172</v>
      </c>
    </row>
    <row r="20" spans="1:8" x14ac:dyDescent="0.25">
      <c r="A20" t="s">
        <v>12</v>
      </c>
      <c r="B20" t="s">
        <v>26</v>
      </c>
      <c r="C20" t="s">
        <v>170</v>
      </c>
      <c r="D20" t="s">
        <v>11</v>
      </c>
      <c r="E20" t="s">
        <v>143</v>
      </c>
      <c r="F20">
        <v>210</v>
      </c>
      <c r="G20" t="s">
        <v>173</v>
      </c>
      <c r="H20" t="s">
        <v>172</v>
      </c>
    </row>
    <row r="21" spans="1:8" x14ac:dyDescent="0.25">
      <c r="A21" t="s">
        <v>12</v>
      </c>
      <c r="B21" t="s">
        <v>26</v>
      </c>
      <c r="C21" t="s">
        <v>170</v>
      </c>
      <c r="D21" t="s">
        <v>11</v>
      </c>
      <c r="E21" t="s">
        <v>144</v>
      </c>
      <c r="F21">
        <v>210</v>
      </c>
      <c r="G21" t="s">
        <v>173</v>
      </c>
      <c r="H21" t="s">
        <v>172</v>
      </c>
    </row>
    <row r="22" spans="1:8" x14ac:dyDescent="0.25">
      <c r="A22" t="s">
        <v>12</v>
      </c>
      <c r="B22" t="s">
        <v>26</v>
      </c>
      <c r="C22" t="s">
        <v>170</v>
      </c>
      <c r="D22" t="s">
        <v>11</v>
      </c>
      <c r="E22" t="s">
        <v>145</v>
      </c>
      <c r="F22">
        <v>210</v>
      </c>
      <c r="G22" t="s">
        <v>173</v>
      </c>
      <c r="H22" t="s">
        <v>172</v>
      </c>
    </row>
    <row r="23" spans="1:8" x14ac:dyDescent="0.25">
      <c r="A23" t="s">
        <v>12</v>
      </c>
      <c r="B23" t="s">
        <v>26</v>
      </c>
      <c r="C23" t="s">
        <v>170</v>
      </c>
      <c r="D23" t="s">
        <v>11</v>
      </c>
      <c r="E23" t="s">
        <v>146</v>
      </c>
      <c r="F23">
        <v>210</v>
      </c>
      <c r="G23" t="s">
        <v>173</v>
      </c>
      <c r="H23" t="s">
        <v>172</v>
      </c>
    </row>
    <row r="24" spans="1:8" x14ac:dyDescent="0.25">
      <c r="A24" t="s">
        <v>12</v>
      </c>
      <c r="B24" t="s">
        <v>26</v>
      </c>
      <c r="C24" t="s">
        <v>170</v>
      </c>
      <c r="D24" t="s">
        <v>11</v>
      </c>
      <c r="E24" t="s">
        <v>147</v>
      </c>
      <c r="F24">
        <v>210</v>
      </c>
      <c r="G24" t="s">
        <v>181</v>
      </c>
      <c r="H24" t="s">
        <v>172</v>
      </c>
    </row>
    <row r="25" spans="1:8" x14ac:dyDescent="0.25">
      <c r="A25" t="s">
        <v>12</v>
      </c>
      <c r="B25" t="s">
        <v>26</v>
      </c>
      <c r="C25" t="s">
        <v>170</v>
      </c>
      <c r="D25" t="s">
        <v>11</v>
      </c>
      <c r="E25" t="s">
        <v>148</v>
      </c>
      <c r="F25">
        <v>210</v>
      </c>
      <c r="G25" t="s">
        <v>181</v>
      </c>
      <c r="H25" t="s">
        <v>172</v>
      </c>
    </row>
    <row r="26" spans="1:8" x14ac:dyDescent="0.25">
      <c r="A26" t="s">
        <v>12</v>
      </c>
      <c r="B26" t="s">
        <v>26</v>
      </c>
      <c r="C26" t="s">
        <v>170</v>
      </c>
      <c r="D26" t="s">
        <v>11</v>
      </c>
      <c r="E26" t="s">
        <v>149</v>
      </c>
      <c r="F26">
        <v>210</v>
      </c>
      <c r="G26" t="s">
        <v>181</v>
      </c>
      <c r="H26" t="s">
        <v>172</v>
      </c>
    </row>
    <row r="27" spans="1:8" x14ac:dyDescent="0.25">
      <c r="A27" t="s">
        <v>12</v>
      </c>
      <c r="B27" t="s">
        <v>26</v>
      </c>
      <c r="C27" t="s">
        <v>170</v>
      </c>
      <c r="D27" t="s">
        <v>11</v>
      </c>
      <c r="E27" t="s">
        <v>150</v>
      </c>
      <c r="F27">
        <v>210</v>
      </c>
      <c r="G27" t="s">
        <v>181</v>
      </c>
      <c r="H27" t="s">
        <v>172</v>
      </c>
    </row>
    <row r="28" spans="1:8" x14ac:dyDescent="0.25">
      <c r="A28" t="s">
        <v>12</v>
      </c>
      <c r="B28" t="s">
        <v>26</v>
      </c>
      <c r="C28" t="s">
        <v>170</v>
      </c>
      <c r="D28" t="s">
        <v>11</v>
      </c>
      <c r="E28" t="s">
        <v>151</v>
      </c>
      <c r="F28">
        <v>210</v>
      </c>
      <c r="G28" t="s">
        <v>181</v>
      </c>
      <c r="H28" t="s">
        <v>172</v>
      </c>
    </row>
    <row r="29" spans="1:8" x14ac:dyDescent="0.25">
      <c r="A29" t="s">
        <v>12</v>
      </c>
      <c r="B29" t="s">
        <v>26</v>
      </c>
      <c r="C29" t="s">
        <v>170</v>
      </c>
      <c r="D29" t="s">
        <v>11</v>
      </c>
      <c r="E29" t="s">
        <v>152</v>
      </c>
      <c r="F29">
        <v>210</v>
      </c>
      <c r="G29" t="s">
        <v>181</v>
      </c>
      <c r="H29" t="s">
        <v>172</v>
      </c>
    </row>
    <row r="30" spans="1:8" x14ac:dyDescent="0.25">
      <c r="A30" t="s">
        <v>12</v>
      </c>
      <c r="B30" t="s">
        <v>26</v>
      </c>
      <c r="C30" t="s">
        <v>170</v>
      </c>
      <c r="D30" t="s">
        <v>11</v>
      </c>
      <c r="E30" t="s">
        <v>153</v>
      </c>
      <c r="F30">
        <v>210</v>
      </c>
      <c r="G30" t="s">
        <v>181</v>
      </c>
      <c r="H30" t="s">
        <v>172</v>
      </c>
    </row>
    <row r="31" spans="1:8" x14ac:dyDescent="0.25">
      <c r="A31" t="s">
        <v>12</v>
      </c>
      <c r="B31" t="s">
        <v>26</v>
      </c>
      <c r="C31" t="s">
        <v>170</v>
      </c>
      <c r="D31" t="s">
        <v>11</v>
      </c>
      <c r="E31" t="s">
        <v>154</v>
      </c>
      <c r="F31">
        <v>210</v>
      </c>
      <c r="G31" t="s">
        <v>181</v>
      </c>
      <c r="H31" t="s">
        <v>172</v>
      </c>
    </row>
    <row r="32" spans="1:8" x14ac:dyDescent="0.25">
      <c r="A32" t="s">
        <v>12</v>
      </c>
      <c r="B32" t="s">
        <v>26</v>
      </c>
      <c r="C32" t="s">
        <v>170</v>
      </c>
      <c r="D32" t="s">
        <v>11</v>
      </c>
      <c r="E32" t="s">
        <v>155</v>
      </c>
      <c r="F32">
        <v>210</v>
      </c>
      <c r="G32" t="s">
        <v>181</v>
      </c>
      <c r="H32" t="s">
        <v>172</v>
      </c>
    </row>
    <row r="33" spans="1:8" x14ac:dyDescent="0.25">
      <c r="A33" t="s">
        <v>12</v>
      </c>
      <c r="B33" t="s">
        <v>26</v>
      </c>
      <c r="C33" t="s">
        <v>170</v>
      </c>
      <c r="D33" t="s">
        <v>11</v>
      </c>
      <c r="E33" t="s">
        <v>156</v>
      </c>
      <c r="F33">
        <v>210</v>
      </c>
      <c r="G33" t="s">
        <v>181</v>
      </c>
      <c r="H33" t="s">
        <v>172</v>
      </c>
    </row>
    <row r="34" spans="1:8" x14ac:dyDescent="0.25">
      <c r="A34" t="s">
        <v>12</v>
      </c>
      <c r="B34" t="s">
        <v>26</v>
      </c>
      <c r="C34" t="s">
        <v>170</v>
      </c>
      <c r="D34" t="s">
        <v>11</v>
      </c>
      <c r="E34" t="s">
        <v>157</v>
      </c>
      <c r="F34">
        <v>210</v>
      </c>
      <c r="G34" t="s">
        <v>181</v>
      </c>
      <c r="H34" t="s">
        <v>172</v>
      </c>
    </row>
    <row r="35" spans="1:8" x14ac:dyDescent="0.25">
      <c r="A35" t="s">
        <v>12</v>
      </c>
      <c r="B35" t="s">
        <v>26</v>
      </c>
      <c r="C35" t="s">
        <v>170</v>
      </c>
      <c r="D35" t="s">
        <v>11</v>
      </c>
      <c r="E35" t="s">
        <v>158</v>
      </c>
      <c r="F35">
        <v>210</v>
      </c>
      <c r="G35" t="s">
        <v>182</v>
      </c>
      <c r="H35" t="s">
        <v>172</v>
      </c>
    </row>
    <row r="36" spans="1:8" x14ac:dyDescent="0.25">
      <c r="A36" t="s">
        <v>12</v>
      </c>
      <c r="B36" t="s">
        <v>26</v>
      </c>
      <c r="C36" t="s">
        <v>170</v>
      </c>
      <c r="D36" t="s">
        <v>11</v>
      </c>
      <c r="E36" t="s">
        <v>159</v>
      </c>
      <c r="F36">
        <v>210</v>
      </c>
      <c r="G36" t="s">
        <v>182</v>
      </c>
      <c r="H36" t="s">
        <v>172</v>
      </c>
    </row>
    <row r="37" spans="1:8" x14ac:dyDescent="0.25">
      <c r="A37" t="s">
        <v>12</v>
      </c>
      <c r="B37" t="s">
        <v>26</v>
      </c>
      <c r="C37" t="s">
        <v>170</v>
      </c>
      <c r="D37" t="s">
        <v>11</v>
      </c>
      <c r="E37" t="s">
        <v>160</v>
      </c>
      <c r="F37">
        <v>210</v>
      </c>
      <c r="G37" t="s">
        <v>182</v>
      </c>
      <c r="H37" t="s">
        <v>172</v>
      </c>
    </row>
    <row r="38" spans="1:8" x14ac:dyDescent="0.25">
      <c r="A38" t="s">
        <v>12</v>
      </c>
      <c r="B38" t="s">
        <v>26</v>
      </c>
      <c r="C38" t="s">
        <v>170</v>
      </c>
      <c r="D38" t="s">
        <v>11</v>
      </c>
      <c r="E38" t="s">
        <v>161</v>
      </c>
      <c r="F38">
        <v>210</v>
      </c>
      <c r="G38" t="s">
        <v>182</v>
      </c>
      <c r="H38" t="s">
        <v>172</v>
      </c>
    </row>
    <row r="39" spans="1:8" x14ac:dyDescent="0.25">
      <c r="A39" t="s">
        <v>12</v>
      </c>
      <c r="B39" t="s">
        <v>26</v>
      </c>
      <c r="C39" t="s">
        <v>170</v>
      </c>
      <c r="D39" t="s">
        <v>11</v>
      </c>
      <c r="E39" t="s">
        <v>162</v>
      </c>
      <c r="F39">
        <v>210</v>
      </c>
      <c r="G39" t="s">
        <v>182</v>
      </c>
      <c r="H39" t="s">
        <v>172</v>
      </c>
    </row>
    <row r="40" spans="1:8" x14ac:dyDescent="0.25">
      <c r="A40" t="s">
        <v>12</v>
      </c>
      <c r="B40" t="s">
        <v>26</v>
      </c>
      <c r="C40" t="s">
        <v>170</v>
      </c>
      <c r="D40" t="s">
        <v>11</v>
      </c>
      <c r="E40" t="s">
        <v>163</v>
      </c>
      <c r="F40">
        <v>210</v>
      </c>
      <c r="G40" t="s">
        <v>182</v>
      </c>
      <c r="H40" t="s">
        <v>172</v>
      </c>
    </row>
    <row r="41" spans="1:8" x14ac:dyDescent="0.25">
      <c r="A41" t="s">
        <v>12</v>
      </c>
      <c r="B41" t="s">
        <v>26</v>
      </c>
      <c r="C41" t="s">
        <v>170</v>
      </c>
      <c r="D41" t="s">
        <v>11</v>
      </c>
      <c r="E41" t="s">
        <v>164</v>
      </c>
      <c r="F41">
        <v>210</v>
      </c>
      <c r="G41" t="s">
        <v>182</v>
      </c>
      <c r="H41" t="s">
        <v>172</v>
      </c>
    </row>
    <row r="42" spans="1:8" x14ac:dyDescent="0.25">
      <c r="A42" t="s">
        <v>12</v>
      </c>
      <c r="B42" t="s">
        <v>26</v>
      </c>
      <c r="C42" t="s">
        <v>170</v>
      </c>
      <c r="D42" t="s">
        <v>11</v>
      </c>
      <c r="E42" t="s">
        <v>165</v>
      </c>
      <c r="F42">
        <v>210</v>
      </c>
      <c r="G42" t="s">
        <v>182</v>
      </c>
      <c r="H42" t="s">
        <v>172</v>
      </c>
    </row>
    <row r="43" spans="1:8" x14ac:dyDescent="0.25">
      <c r="A43" t="s">
        <v>12</v>
      </c>
      <c r="B43" t="s">
        <v>26</v>
      </c>
      <c r="C43" t="s">
        <v>170</v>
      </c>
      <c r="D43" t="s">
        <v>11</v>
      </c>
      <c r="E43" t="s">
        <v>166</v>
      </c>
      <c r="F43">
        <v>210</v>
      </c>
      <c r="G43" t="s">
        <v>182</v>
      </c>
      <c r="H43" t="s">
        <v>172</v>
      </c>
    </row>
    <row r="44" spans="1:8" x14ac:dyDescent="0.25">
      <c r="A44" t="s">
        <v>12</v>
      </c>
      <c r="B44" t="s">
        <v>26</v>
      </c>
      <c r="C44" t="s">
        <v>170</v>
      </c>
      <c r="D44" t="s">
        <v>11</v>
      </c>
      <c r="E44" t="s">
        <v>167</v>
      </c>
      <c r="F44">
        <v>210</v>
      </c>
      <c r="G44" t="s">
        <v>182</v>
      </c>
      <c r="H44" t="s">
        <v>172</v>
      </c>
    </row>
    <row r="45" spans="1:8" x14ac:dyDescent="0.25">
      <c r="A45" t="s">
        <v>12</v>
      </c>
      <c r="B45" t="s">
        <v>26</v>
      </c>
      <c r="C45" t="s">
        <v>170</v>
      </c>
      <c r="D45" t="s">
        <v>11</v>
      </c>
      <c r="E45" t="s">
        <v>168</v>
      </c>
      <c r="F45">
        <v>210</v>
      </c>
      <c r="G45" t="s">
        <v>182</v>
      </c>
      <c r="H45" t="s">
        <v>172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5FE16-7D61-4EB0-B4E3-8FB9B284DB1F}">
  <sheetPr codeName="Sheet11">
    <pageSetUpPr fitToPage="1"/>
  </sheetPr>
  <dimension ref="A1:D7"/>
  <sheetViews>
    <sheetView workbookViewId="0">
      <selection sqref="A1:XFD1048576"/>
    </sheetView>
  </sheetViews>
  <sheetFormatPr defaultRowHeight="15" x14ac:dyDescent="0.25"/>
  <cols>
    <col min="1" max="1" width="11" style="6" bestFit="1" customWidth="1"/>
    <col min="2" max="2" width="15.28515625" style="6" bestFit="1" customWidth="1"/>
    <col min="3" max="3" width="23.5703125" style="6" bestFit="1" customWidth="1"/>
    <col min="4" max="4" width="10.28515625" style="6" bestFit="1" customWidth="1"/>
    <col min="5" max="16384" width="9.140625" style="6"/>
  </cols>
  <sheetData>
    <row r="1" spans="1:4" x14ac:dyDescent="0.25">
      <c r="A1" s="26" t="s">
        <v>174</v>
      </c>
      <c r="B1" s="26" t="s">
        <v>175</v>
      </c>
      <c r="C1" s="26" t="s">
        <v>183</v>
      </c>
      <c r="D1" s="26" t="s">
        <v>43</v>
      </c>
    </row>
    <row r="2" spans="1:4" x14ac:dyDescent="0.25">
      <c r="A2" s="5" t="s">
        <v>27</v>
      </c>
      <c r="B2" s="5" t="s">
        <v>179</v>
      </c>
      <c r="C2" s="5" t="s">
        <v>12</v>
      </c>
      <c r="D2" s="5">
        <v>1</v>
      </c>
    </row>
    <row r="3" spans="1:4" x14ac:dyDescent="0.25">
      <c r="A3" s="5" t="s">
        <v>28</v>
      </c>
      <c r="B3" s="5" t="s">
        <v>46</v>
      </c>
      <c r="C3" s="5" t="s">
        <v>78</v>
      </c>
      <c r="D3" s="5">
        <v>1</v>
      </c>
    </row>
    <row r="4" spans="1:4" x14ac:dyDescent="0.25">
      <c r="A4" s="5" t="s">
        <v>28</v>
      </c>
      <c r="B4" s="5" t="s">
        <v>188</v>
      </c>
      <c r="C4" s="5" t="s">
        <v>75</v>
      </c>
      <c r="D4" s="5">
        <v>1</v>
      </c>
    </row>
    <row r="5" spans="1:4" x14ac:dyDescent="0.25">
      <c r="A5" s="5" t="s">
        <v>28</v>
      </c>
      <c r="B5" s="5" t="s">
        <v>14</v>
      </c>
      <c r="C5" s="5" t="s">
        <v>76</v>
      </c>
      <c r="D5" s="5">
        <v>1</v>
      </c>
    </row>
    <row r="6" spans="1:4" x14ac:dyDescent="0.25">
      <c r="A6" s="5" t="s">
        <v>28</v>
      </c>
      <c r="B6" s="5" t="s">
        <v>17</v>
      </c>
      <c r="C6" s="5" t="s">
        <v>77</v>
      </c>
      <c r="D6" s="5">
        <v>1</v>
      </c>
    </row>
    <row r="7" spans="1:4" x14ac:dyDescent="0.25">
      <c r="A7" s="5" t="s">
        <v>28</v>
      </c>
      <c r="B7" s="5" t="s">
        <v>21</v>
      </c>
      <c r="C7" s="5" t="s">
        <v>180</v>
      </c>
      <c r="D7" s="5">
        <v>1</v>
      </c>
    </row>
  </sheetData>
  <pageMargins left="0.7" right="0.7" top="0.75" bottom="0.75" header="0.3" footer="0.3"/>
  <pageSetup paperSize="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7C2F2-68CC-432B-94B8-D2427E850617}">
  <sheetPr codeName="Sheet10"/>
  <dimension ref="K1:R29"/>
  <sheetViews>
    <sheetView tabSelected="1" zoomScale="85" zoomScaleNormal="85" workbookViewId="0">
      <selection activeCell="M34" sqref="M33:M34"/>
    </sheetView>
  </sheetViews>
  <sheetFormatPr defaultRowHeight="15" x14ac:dyDescent="0.25"/>
  <sheetData>
    <row r="1" spans="11:18" x14ac:dyDescent="0.25">
      <c r="K1" s="25" t="s">
        <v>192</v>
      </c>
      <c r="L1" s="25"/>
      <c r="M1" s="25"/>
      <c r="N1" s="25"/>
      <c r="O1" s="25"/>
      <c r="P1" s="25"/>
      <c r="Q1" s="25"/>
      <c r="R1" s="25"/>
    </row>
    <row r="2" spans="11:18" x14ac:dyDescent="0.25">
      <c r="K2" s="5" t="s">
        <v>193</v>
      </c>
      <c r="L2" s="25" t="s">
        <v>194</v>
      </c>
      <c r="M2" s="25"/>
      <c r="N2" s="25"/>
      <c r="O2" s="25" t="s">
        <v>195</v>
      </c>
      <c r="P2" s="25"/>
      <c r="Q2" s="25"/>
      <c r="R2" s="5" t="s">
        <v>36</v>
      </c>
    </row>
    <row r="3" spans="11:18" x14ac:dyDescent="0.25">
      <c r="K3" s="25">
        <v>1</v>
      </c>
      <c r="L3" s="25" t="s">
        <v>46</v>
      </c>
      <c r="M3" s="25"/>
      <c r="N3" s="25"/>
      <c r="O3" s="25" t="s">
        <v>196</v>
      </c>
      <c r="P3" s="25"/>
      <c r="Q3" s="25"/>
      <c r="R3" s="5">
        <v>2</v>
      </c>
    </row>
    <row r="4" spans="11:18" x14ac:dyDescent="0.25">
      <c r="K4" s="25"/>
      <c r="L4" s="25" t="s">
        <v>47</v>
      </c>
      <c r="M4" s="25"/>
      <c r="N4" s="25"/>
      <c r="O4" s="25" t="s">
        <v>197</v>
      </c>
      <c r="P4" s="25"/>
      <c r="Q4" s="25"/>
      <c r="R4" s="5">
        <v>2</v>
      </c>
    </row>
    <row r="5" spans="11:18" x14ac:dyDescent="0.25">
      <c r="K5" s="25"/>
      <c r="L5" s="25" t="s">
        <v>48</v>
      </c>
      <c r="M5" s="25"/>
      <c r="N5" s="25"/>
      <c r="O5" s="25" t="s">
        <v>198</v>
      </c>
      <c r="P5" s="25"/>
      <c r="Q5" s="25"/>
      <c r="R5" s="5">
        <v>2</v>
      </c>
    </row>
    <row r="6" spans="11:18" x14ac:dyDescent="0.25">
      <c r="K6" s="25"/>
      <c r="L6" s="25" t="s">
        <v>49</v>
      </c>
      <c r="M6" s="25"/>
      <c r="N6" s="25"/>
      <c r="O6" s="25" t="s">
        <v>199</v>
      </c>
      <c r="P6" s="25"/>
      <c r="Q6" s="25"/>
      <c r="R6" s="5">
        <v>67</v>
      </c>
    </row>
    <row r="7" spans="11:18" x14ac:dyDescent="0.25">
      <c r="K7" s="5">
        <v>2</v>
      </c>
      <c r="L7" s="28" t="s">
        <v>212</v>
      </c>
      <c r="M7" s="29"/>
      <c r="N7" s="30"/>
      <c r="O7" s="25" t="s">
        <v>179</v>
      </c>
      <c r="P7" s="29"/>
      <c r="Q7" s="30"/>
      <c r="R7" s="5">
        <v>2</v>
      </c>
    </row>
    <row r="8" spans="11:18" x14ac:dyDescent="0.25">
      <c r="K8" s="5">
        <v>2</v>
      </c>
      <c r="L8" s="25" t="s">
        <v>176</v>
      </c>
      <c r="M8" s="25"/>
      <c r="N8" s="25"/>
      <c r="O8" s="25" t="s">
        <v>200</v>
      </c>
      <c r="P8" s="25"/>
      <c r="Q8" s="25"/>
      <c r="R8" s="5">
        <v>2</v>
      </c>
    </row>
    <row r="9" spans="11:18" x14ac:dyDescent="0.25">
      <c r="K9" s="5">
        <v>3</v>
      </c>
      <c r="L9" s="25" t="s">
        <v>176</v>
      </c>
      <c r="M9" s="25"/>
      <c r="N9" s="25"/>
      <c r="O9" s="25" t="s">
        <v>200</v>
      </c>
      <c r="P9" s="25"/>
      <c r="Q9" s="25"/>
      <c r="R9" s="5">
        <v>2</v>
      </c>
    </row>
    <row r="10" spans="11:18" x14ac:dyDescent="0.25">
      <c r="K10" s="25">
        <v>4</v>
      </c>
      <c r="L10" s="25" t="s">
        <v>201</v>
      </c>
      <c r="M10" s="25"/>
      <c r="N10" s="25"/>
      <c r="O10" s="25" t="s">
        <v>202</v>
      </c>
      <c r="P10" s="25"/>
      <c r="Q10" s="25"/>
      <c r="R10" s="5" t="s">
        <v>203</v>
      </c>
    </row>
    <row r="11" spans="11:18" x14ac:dyDescent="0.25">
      <c r="K11" s="25"/>
      <c r="L11" s="25" t="s">
        <v>204</v>
      </c>
      <c r="M11" s="25"/>
      <c r="N11" s="25"/>
      <c r="O11" s="25" t="s">
        <v>205</v>
      </c>
      <c r="P11" s="25"/>
      <c r="Q11" s="25"/>
      <c r="R11" s="5" t="s">
        <v>203</v>
      </c>
    </row>
    <row r="12" spans="11:18" x14ac:dyDescent="0.25">
      <c r="K12" s="25">
        <v>5</v>
      </c>
      <c r="L12" s="25" t="s">
        <v>177</v>
      </c>
      <c r="M12" s="25"/>
      <c r="N12" s="25"/>
      <c r="O12" s="25" t="s">
        <v>206</v>
      </c>
      <c r="P12" s="25"/>
      <c r="Q12" s="25"/>
      <c r="R12" s="5">
        <v>1</v>
      </c>
    </row>
    <row r="13" spans="11:18" x14ac:dyDescent="0.25">
      <c r="K13" s="25"/>
      <c r="L13" s="25" t="s">
        <v>207</v>
      </c>
      <c r="M13" s="25"/>
      <c r="N13" s="25"/>
      <c r="O13" s="25" t="s">
        <v>208</v>
      </c>
      <c r="P13" s="25"/>
      <c r="Q13" s="25"/>
      <c r="R13" s="5">
        <v>1</v>
      </c>
    </row>
    <row r="14" spans="11:18" x14ac:dyDescent="0.25">
      <c r="K14" s="25"/>
      <c r="L14" s="25" t="s">
        <v>209</v>
      </c>
      <c r="M14" s="25"/>
      <c r="N14" s="25"/>
      <c r="O14" s="25" t="s">
        <v>199</v>
      </c>
      <c r="P14" s="25"/>
      <c r="Q14" s="25"/>
      <c r="R14" s="5">
        <v>35</v>
      </c>
    </row>
    <row r="15" spans="11:18" x14ac:dyDescent="0.25">
      <c r="K15" s="25">
        <v>6</v>
      </c>
      <c r="L15" s="25" t="s">
        <v>178</v>
      </c>
      <c r="M15" s="25"/>
      <c r="N15" s="25"/>
      <c r="O15" s="25" t="s">
        <v>206</v>
      </c>
      <c r="P15" s="25"/>
      <c r="Q15" s="25"/>
      <c r="R15" s="5">
        <v>1</v>
      </c>
    </row>
    <row r="16" spans="11:18" x14ac:dyDescent="0.25">
      <c r="K16" s="25"/>
      <c r="L16" s="25" t="s">
        <v>210</v>
      </c>
      <c r="M16" s="25"/>
      <c r="N16" s="25"/>
      <c r="O16" s="25" t="s">
        <v>208</v>
      </c>
      <c r="P16" s="25"/>
      <c r="Q16" s="25"/>
      <c r="R16" s="5">
        <v>1</v>
      </c>
    </row>
    <row r="17" spans="11:18" x14ac:dyDescent="0.25">
      <c r="K17" s="25"/>
      <c r="L17" s="25" t="s">
        <v>211</v>
      </c>
      <c r="M17" s="25"/>
      <c r="N17" s="25"/>
      <c r="O17" s="25" t="s">
        <v>199</v>
      </c>
      <c r="P17" s="25"/>
      <c r="Q17" s="25"/>
      <c r="R17" s="5">
        <v>30</v>
      </c>
    </row>
    <row r="18" spans="11:18" x14ac:dyDescent="0.25">
      <c r="K18" s="25">
        <v>7</v>
      </c>
      <c r="L18" s="25"/>
      <c r="M18" s="25"/>
      <c r="N18" s="25"/>
      <c r="O18" s="25" t="s">
        <v>206</v>
      </c>
      <c r="P18" s="25"/>
      <c r="Q18" s="25"/>
      <c r="R18" s="5"/>
    </row>
    <row r="19" spans="11:18" x14ac:dyDescent="0.25">
      <c r="K19" s="25"/>
      <c r="L19" s="25"/>
      <c r="M19" s="25"/>
      <c r="N19" s="25"/>
      <c r="O19" s="25" t="s">
        <v>208</v>
      </c>
      <c r="P19" s="25"/>
      <c r="Q19" s="25"/>
      <c r="R19" s="5"/>
    </row>
    <row r="20" spans="11:18" x14ac:dyDescent="0.25">
      <c r="K20" s="25"/>
      <c r="L20" s="25"/>
      <c r="M20" s="25"/>
      <c r="N20" s="25"/>
      <c r="O20" s="25" t="s">
        <v>199</v>
      </c>
      <c r="P20" s="25"/>
      <c r="Q20" s="25"/>
      <c r="R20" s="5"/>
    </row>
    <row r="21" spans="11:18" x14ac:dyDescent="0.25">
      <c r="K21" s="25">
        <v>8</v>
      </c>
      <c r="L21" s="25"/>
      <c r="M21" s="25"/>
      <c r="N21" s="25"/>
      <c r="O21" s="25" t="s">
        <v>206</v>
      </c>
      <c r="P21" s="25"/>
      <c r="Q21" s="25"/>
      <c r="R21" s="5"/>
    </row>
    <row r="22" spans="11:18" x14ac:dyDescent="0.25">
      <c r="K22" s="25"/>
      <c r="L22" s="25"/>
      <c r="M22" s="25"/>
      <c r="N22" s="25"/>
      <c r="O22" s="25" t="s">
        <v>208</v>
      </c>
      <c r="P22" s="25"/>
      <c r="Q22" s="25"/>
      <c r="R22" s="5"/>
    </row>
    <row r="23" spans="11:18" x14ac:dyDescent="0.25">
      <c r="K23" s="25"/>
      <c r="L23" s="25"/>
      <c r="M23" s="25"/>
      <c r="N23" s="25"/>
      <c r="O23" s="25" t="s">
        <v>199</v>
      </c>
      <c r="P23" s="25"/>
      <c r="Q23" s="25"/>
      <c r="R23" s="5"/>
    </row>
    <row r="24" spans="11:18" x14ac:dyDescent="0.25">
      <c r="K24" s="25">
        <v>9</v>
      </c>
      <c r="L24" s="25"/>
      <c r="M24" s="25"/>
      <c r="N24" s="25"/>
      <c r="O24" s="25" t="s">
        <v>206</v>
      </c>
      <c r="P24" s="25"/>
      <c r="Q24" s="25"/>
      <c r="R24" s="5"/>
    </row>
    <row r="25" spans="11:18" x14ac:dyDescent="0.25">
      <c r="K25" s="25"/>
      <c r="L25" s="25"/>
      <c r="M25" s="25"/>
      <c r="N25" s="25"/>
      <c r="O25" s="25" t="s">
        <v>208</v>
      </c>
      <c r="P25" s="25"/>
      <c r="Q25" s="25"/>
      <c r="R25" s="5"/>
    </row>
    <row r="26" spans="11:18" x14ac:dyDescent="0.25">
      <c r="K26" s="25"/>
      <c r="L26" s="25"/>
      <c r="M26" s="25"/>
      <c r="N26" s="25"/>
      <c r="O26" s="25" t="s">
        <v>199</v>
      </c>
      <c r="P26" s="25"/>
      <c r="Q26" s="25"/>
      <c r="R26" s="5"/>
    </row>
    <row r="27" spans="11:18" x14ac:dyDescent="0.25">
      <c r="K27" s="25">
        <v>10</v>
      </c>
      <c r="L27" s="25"/>
      <c r="M27" s="25"/>
      <c r="N27" s="25"/>
      <c r="O27" s="25" t="s">
        <v>206</v>
      </c>
      <c r="P27" s="25"/>
      <c r="Q27" s="25"/>
      <c r="R27" s="5"/>
    </row>
    <row r="28" spans="11:18" x14ac:dyDescent="0.25">
      <c r="K28" s="25"/>
      <c r="L28" s="25"/>
      <c r="M28" s="25"/>
      <c r="N28" s="25"/>
      <c r="O28" s="25" t="s">
        <v>208</v>
      </c>
      <c r="P28" s="25"/>
      <c r="Q28" s="25"/>
      <c r="R28" s="5"/>
    </row>
    <row r="29" spans="11:18" x14ac:dyDescent="0.25">
      <c r="K29" s="25"/>
      <c r="L29" s="25"/>
      <c r="M29" s="25"/>
      <c r="N29" s="25"/>
      <c r="O29" s="25" t="s">
        <v>199</v>
      </c>
      <c r="P29" s="25"/>
      <c r="Q29" s="25"/>
      <c r="R29" s="5"/>
    </row>
  </sheetData>
  <mergeCells count="65">
    <mergeCell ref="K27:K29"/>
    <mergeCell ref="L27:N27"/>
    <mergeCell ref="O27:Q27"/>
    <mergeCell ref="L28:N28"/>
    <mergeCell ref="O28:Q28"/>
    <mergeCell ref="L29:N29"/>
    <mergeCell ref="O29:Q29"/>
    <mergeCell ref="K24:K26"/>
    <mergeCell ref="L24:N24"/>
    <mergeCell ref="O24:Q24"/>
    <mergeCell ref="L25:N25"/>
    <mergeCell ref="O25:Q25"/>
    <mergeCell ref="L26:N26"/>
    <mergeCell ref="O26:Q26"/>
    <mergeCell ref="K21:K23"/>
    <mergeCell ref="L21:N21"/>
    <mergeCell ref="O21:Q21"/>
    <mergeCell ref="L22:N22"/>
    <mergeCell ref="O22:Q22"/>
    <mergeCell ref="L23:N23"/>
    <mergeCell ref="O23:Q23"/>
    <mergeCell ref="K18:K20"/>
    <mergeCell ref="L18:N18"/>
    <mergeCell ref="O18:Q18"/>
    <mergeCell ref="L19:N19"/>
    <mergeCell ref="O19:Q19"/>
    <mergeCell ref="L20:N20"/>
    <mergeCell ref="O20:Q20"/>
    <mergeCell ref="L14:N14"/>
    <mergeCell ref="O14:Q14"/>
    <mergeCell ref="K15:K17"/>
    <mergeCell ref="L15:N15"/>
    <mergeCell ref="O15:Q15"/>
    <mergeCell ref="L16:N16"/>
    <mergeCell ref="O16:Q16"/>
    <mergeCell ref="L17:N17"/>
    <mergeCell ref="O17:Q17"/>
    <mergeCell ref="K10:K11"/>
    <mergeCell ref="L10:N10"/>
    <mergeCell ref="O10:Q10"/>
    <mergeCell ref="L11:N11"/>
    <mergeCell ref="O11:Q11"/>
    <mergeCell ref="K12:K14"/>
    <mergeCell ref="L12:N12"/>
    <mergeCell ref="O12:Q12"/>
    <mergeCell ref="L13:N13"/>
    <mergeCell ref="O13:Q13"/>
    <mergeCell ref="L6:N6"/>
    <mergeCell ref="O6:Q6"/>
    <mergeCell ref="L8:N8"/>
    <mergeCell ref="O8:Q8"/>
    <mergeCell ref="L9:N9"/>
    <mergeCell ref="O9:Q9"/>
    <mergeCell ref="L7:N7"/>
    <mergeCell ref="O7:Q7"/>
    <mergeCell ref="K1:R1"/>
    <mergeCell ref="L2:N2"/>
    <mergeCell ref="O2:Q2"/>
    <mergeCell ref="K3:K6"/>
    <mergeCell ref="L3:N3"/>
    <mergeCell ref="O3:Q3"/>
    <mergeCell ref="L4:N4"/>
    <mergeCell ref="O4:Q4"/>
    <mergeCell ref="L5:N5"/>
    <mergeCell ref="O5:Q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5FC3-7046-470A-9115-71EF4093E843}">
  <sheetPr codeName="Sheet5"/>
  <dimension ref="A1:J18"/>
  <sheetViews>
    <sheetView workbookViewId="0">
      <selection sqref="A1:XFD1048576"/>
    </sheetView>
  </sheetViews>
  <sheetFormatPr defaultRowHeight="15" x14ac:dyDescent="0.25"/>
  <cols>
    <col min="1" max="2" width="20.7109375" bestFit="1" customWidth="1"/>
    <col min="3" max="3" width="12.42578125" bestFit="1" customWidth="1"/>
    <col min="4" max="4" width="6.7109375" bestFit="1" customWidth="1"/>
    <col min="5" max="5" width="4.42578125" bestFit="1" customWidth="1"/>
    <col min="6" max="6" width="6.28515625" bestFit="1" customWidth="1"/>
    <col min="7" max="7" width="6" bestFit="1" customWidth="1"/>
    <col min="8" max="8" width="10" bestFit="1" customWidth="1"/>
    <col min="9" max="9" width="5.42578125" bestFit="1" customWidth="1"/>
    <col min="10" max="10" width="4.7109375" bestFit="1" customWidth="1"/>
  </cols>
  <sheetData>
    <row r="1" spans="1:10" x14ac:dyDescent="0.25">
      <c r="A1" t="s">
        <v>38</v>
      </c>
      <c r="B1" t="s">
        <v>33</v>
      </c>
      <c r="C1" t="s">
        <v>34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</row>
    <row r="2" spans="1:10" x14ac:dyDescent="0.25">
      <c r="A2" t="s">
        <v>12</v>
      </c>
      <c r="B2" t="s">
        <v>12</v>
      </c>
      <c r="C2" t="s">
        <v>26</v>
      </c>
      <c r="D2" t="s">
        <v>184</v>
      </c>
      <c r="E2" t="s">
        <v>185</v>
      </c>
      <c r="F2">
        <v>1</v>
      </c>
      <c r="G2">
        <v>99999</v>
      </c>
      <c r="H2">
        <v>92.4</v>
      </c>
      <c r="I2" t="s">
        <v>187</v>
      </c>
      <c r="J2" t="s">
        <v>123</v>
      </c>
    </row>
    <row r="3" spans="1:10" x14ac:dyDescent="0.25">
      <c r="A3" t="s">
        <v>12</v>
      </c>
      <c r="B3" t="s">
        <v>12</v>
      </c>
      <c r="C3" t="s">
        <v>25</v>
      </c>
      <c r="D3" t="s">
        <v>184</v>
      </c>
      <c r="E3" t="s">
        <v>185</v>
      </c>
      <c r="F3">
        <v>1</v>
      </c>
      <c r="G3">
        <v>99999</v>
      </c>
      <c r="H3">
        <v>6.5</v>
      </c>
      <c r="I3" t="s">
        <v>187</v>
      </c>
      <c r="J3" t="s">
        <v>123</v>
      </c>
    </row>
    <row r="4" spans="1:10" x14ac:dyDescent="0.25">
      <c r="A4" t="s">
        <v>12</v>
      </c>
      <c r="B4" t="s">
        <v>12</v>
      </c>
      <c r="C4" t="s">
        <v>47</v>
      </c>
      <c r="D4" t="s">
        <v>184</v>
      </c>
      <c r="E4" t="s">
        <v>185</v>
      </c>
      <c r="F4">
        <v>1</v>
      </c>
      <c r="G4">
        <v>99999</v>
      </c>
      <c r="H4">
        <v>1</v>
      </c>
      <c r="I4" t="s">
        <v>186</v>
      </c>
      <c r="J4" t="s">
        <v>123</v>
      </c>
    </row>
    <row r="5" spans="1:10" x14ac:dyDescent="0.25">
      <c r="A5" t="s">
        <v>12</v>
      </c>
      <c r="B5" t="s">
        <v>12</v>
      </c>
      <c r="C5" t="s">
        <v>46</v>
      </c>
      <c r="D5" t="s">
        <v>184</v>
      </c>
      <c r="E5" t="s">
        <v>185</v>
      </c>
      <c r="F5">
        <v>1</v>
      </c>
      <c r="G5">
        <v>99999</v>
      </c>
      <c r="H5">
        <v>1</v>
      </c>
      <c r="I5" t="s">
        <v>186</v>
      </c>
      <c r="J5" t="s">
        <v>123</v>
      </c>
    </row>
    <row r="6" spans="1:10" x14ac:dyDescent="0.25">
      <c r="A6" t="s">
        <v>12</v>
      </c>
      <c r="B6" t="s">
        <v>12</v>
      </c>
      <c r="C6" t="s">
        <v>49</v>
      </c>
      <c r="D6" t="s">
        <v>184</v>
      </c>
      <c r="E6" t="s">
        <v>185</v>
      </c>
      <c r="F6">
        <v>1</v>
      </c>
      <c r="G6">
        <v>99999</v>
      </c>
      <c r="H6">
        <v>44</v>
      </c>
      <c r="I6" t="s">
        <v>186</v>
      </c>
      <c r="J6" t="s">
        <v>123</v>
      </c>
    </row>
    <row r="7" spans="1:10" x14ac:dyDescent="0.25">
      <c r="A7" t="s">
        <v>12</v>
      </c>
      <c r="B7" t="s">
        <v>12</v>
      </c>
      <c r="C7" t="s">
        <v>48</v>
      </c>
      <c r="D7" t="s">
        <v>184</v>
      </c>
      <c r="E7" t="s">
        <v>185</v>
      </c>
      <c r="F7">
        <v>1</v>
      </c>
      <c r="G7">
        <v>99999</v>
      </c>
      <c r="H7">
        <v>1</v>
      </c>
      <c r="I7" t="s">
        <v>186</v>
      </c>
      <c r="J7" t="s">
        <v>123</v>
      </c>
    </row>
    <row r="8" spans="1:10" x14ac:dyDescent="0.25">
      <c r="A8" t="s">
        <v>12</v>
      </c>
      <c r="B8" t="s">
        <v>12</v>
      </c>
      <c r="C8" t="s">
        <v>27</v>
      </c>
      <c r="D8" t="s">
        <v>184</v>
      </c>
      <c r="E8" t="s">
        <v>185</v>
      </c>
      <c r="F8">
        <v>1</v>
      </c>
      <c r="G8">
        <v>99999</v>
      </c>
      <c r="H8">
        <v>1</v>
      </c>
      <c r="I8" t="s">
        <v>186</v>
      </c>
      <c r="J8" t="s">
        <v>123</v>
      </c>
    </row>
    <row r="9" spans="1:10" x14ac:dyDescent="0.25">
      <c r="A9" t="s">
        <v>12</v>
      </c>
      <c r="B9" t="s">
        <v>12</v>
      </c>
      <c r="C9" t="s">
        <v>28</v>
      </c>
      <c r="D9" t="s">
        <v>184</v>
      </c>
      <c r="E9" t="s">
        <v>185</v>
      </c>
      <c r="F9">
        <v>1</v>
      </c>
      <c r="G9">
        <v>99999</v>
      </c>
      <c r="H9">
        <v>5</v>
      </c>
      <c r="I9" t="s">
        <v>186</v>
      </c>
      <c r="J9" t="s">
        <v>123</v>
      </c>
    </row>
    <row r="10" spans="1:10" x14ac:dyDescent="0.25">
      <c r="A10" t="s">
        <v>12</v>
      </c>
      <c r="B10" t="s">
        <v>12</v>
      </c>
      <c r="C10" t="s">
        <v>188</v>
      </c>
      <c r="D10" t="s">
        <v>184</v>
      </c>
      <c r="E10" t="s">
        <v>185</v>
      </c>
      <c r="F10">
        <v>1</v>
      </c>
      <c r="G10">
        <v>99999</v>
      </c>
      <c r="H10">
        <v>1</v>
      </c>
      <c r="I10" t="s">
        <v>186</v>
      </c>
      <c r="J10" t="s">
        <v>123</v>
      </c>
    </row>
    <row r="11" spans="1:10" x14ac:dyDescent="0.25">
      <c r="A11" t="s">
        <v>12</v>
      </c>
      <c r="B11" t="s">
        <v>12</v>
      </c>
      <c r="C11" t="s">
        <v>189</v>
      </c>
      <c r="D11" t="s">
        <v>184</v>
      </c>
      <c r="E11" t="s">
        <v>185</v>
      </c>
      <c r="F11">
        <v>1</v>
      </c>
      <c r="G11">
        <v>99999</v>
      </c>
      <c r="H11">
        <v>1</v>
      </c>
      <c r="I11" t="s">
        <v>186</v>
      </c>
      <c r="J11" t="s">
        <v>123</v>
      </c>
    </row>
    <row r="12" spans="1:10" x14ac:dyDescent="0.25">
      <c r="A12" t="s">
        <v>12</v>
      </c>
      <c r="B12" t="s">
        <v>12</v>
      </c>
      <c r="C12" t="s">
        <v>81</v>
      </c>
      <c r="D12" t="s">
        <v>184</v>
      </c>
      <c r="E12" t="s">
        <v>185</v>
      </c>
      <c r="F12">
        <v>1</v>
      </c>
      <c r="G12">
        <v>99999</v>
      </c>
      <c r="H12">
        <v>10</v>
      </c>
      <c r="I12" t="s">
        <v>186</v>
      </c>
      <c r="J12" t="s">
        <v>123</v>
      </c>
    </row>
    <row r="13" spans="1:10" x14ac:dyDescent="0.25">
      <c r="A13" t="s">
        <v>12</v>
      </c>
      <c r="B13" t="s">
        <v>12</v>
      </c>
      <c r="C13" t="s">
        <v>14</v>
      </c>
      <c r="D13" t="s">
        <v>184</v>
      </c>
      <c r="E13" t="s">
        <v>185</v>
      </c>
      <c r="F13">
        <v>1</v>
      </c>
      <c r="G13">
        <v>99999</v>
      </c>
      <c r="H13">
        <v>1</v>
      </c>
      <c r="I13" t="s">
        <v>186</v>
      </c>
      <c r="J13" t="s">
        <v>123</v>
      </c>
    </row>
    <row r="14" spans="1:10" x14ac:dyDescent="0.25">
      <c r="A14" t="s">
        <v>12</v>
      </c>
      <c r="B14" t="s">
        <v>12</v>
      </c>
      <c r="C14" t="s">
        <v>15</v>
      </c>
      <c r="D14" t="s">
        <v>184</v>
      </c>
      <c r="E14" t="s">
        <v>185</v>
      </c>
      <c r="F14">
        <v>1</v>
      </c>
      <c r="G14">
        <v>99999</v>
      </c>
      <c r="H14">
        <v>1</v>
      </c>
      <c r="I14" t="s">
        <v>186</v>
      </c>
      <c r="J14" t="s">
        <v>123</v>
      </c>
    </row>
    <row r="15" spans="1:10" x14ac:dyDescent="0.25">
      <c r="A15" t="s">
        <v>12</v>
      </c>
      <c r="B15" t="s">
        <v>12</v>
      </c>
      <c r="C15" t="s">
        <v>17</v>
      </c>
      <c r="D15" t="s">
        <v>184</v>
      </c>
      <c r="E15" t="s">
        <v>185</v>
      </c>
      <c r="F15">
        <v>1</v>
      </c>
      <c r="G15">
        <v>99999</v>
      </c>
      <c r="H15">
        <v>1</v>
      </c>
      <c r="I15" t="s">
        <v>186</v>
      </c>
      <c r="J15" t="s">
        <v>123</v>
      </c>
    </row>
    <row r="16" spans="1:10" x14ac:dyDescent="0.25">
      <c r="A16" t="s">
        <v>12</v>
      </c>
      <c r="B16" t="s">
        <v>12</v>
      </c>
      <c r="C16" t="s">
        <v>18</v>
      </c>
      <c r="D16" t="s">
        <v>184</v>
      </c>
      <c r="E16" t="s">
        <v>185</v>
      </c>
      <c r="F16">
        <v>1</v>
      </c>
      <c r="G16">
        <v>99999</v>
      </c>
      <c r="H16">
        <v>1</v>
      </c>
      <c r="I16" t="s">
        <v>186</v>
      </c>
      <c r="J16" t="s">
        <v>123</v>
      </c>
    </row>
    <row r="17" spans="1:10" x14ac:dyDescent="0.25">
      <c r="A17" t="s">
        <v>12</v>
      </c>
      <c r="B17" t="s">
        <v>12</v>
      </c>
      <c r="C17" t="s">
        <v>21</v>
      </c>
      <c r="D17" t="s">
        <v>184</v>
      </c>
      <c r="E17" t="s">
        <v>185</v>
      </c>
      <c r="F17">
        <v>1</v>
      </c>
      <c r="G17">
        <v>99999</v>
      </c>
      <c r="H17">
        <v>1</v>
      </c>
      <c r="I17" t="s">
        <v>186</v>
      </c>
      <c r="J17" t="s">
        <v>123</v>
      </c>
    </row>
    <row r="18" spans="1:10" x14ac:dyDescent="0.25">
      <c r="A18" t="s">
        <v>12</v>
      </c>
      <c r="B18" t="s">
        <v>12</v>
      </c>
      <c r="C18" t="s">
        <v>190</v>
      </c>
      <c r="D18" t="s">
        <v>184</v>
      </c>
      <c r="E18" t="s">
        <v>185</v>
      </c>
      <c r="F18">
        <v>1</v>
      </c>
      <c r="G18">
        <v>99999</v>
      </c>
      <c r="H18">
        <v>1</v>
      </c>
      <c r="I18" t="s">
        <v>186</v>
      </c>
      <c r="J18" t="s">
        <v>123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82A0C-9033-4CBD-B29C-1FA834489984}">
  <sheetPr codeName="Sheet6"/>
  <dimension ref="A1:K18"/>
  <sheetViews>
    <sheetView workbookViewId="0">
      <selection sqref="A1:XFD1048576"/>
    </sheetView>
  </sheetViews>
  <sheetFormatPr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2.42578125" bestFit="1" customWidth="1"/>
    <col min="6" max="6" width="6.7109375" bestFit="1" customWidth="1"/>
    <col min="7" max="7" width="4.42578125" bestFit="1" customWidth="1"/>
    <col min="8" max="8" width="6.28515625" bestFit="1" customWidth="1"/>
    <col min="9" max="9" width="6" bestFit="1" customWidth="1"/>
    <col min="10" max="10" width="10" bestFit="1" customWidth="1"/>
    <col min="11" max="11" width="5.42578125" bestFit="1" customWidth="1"/>
  </cols>
  <sheetData>
    <row r="1" spans="1:11" x14ac:dyDescent="0.25">
      <c r="A1" t="s">
        <v>37</v>
      </c>
      <c r="B1" t="s">
        <v>38</v>
      </c>
      <c r="C1" t="s">
        <v>32</v>
      </c>
      <c r="D1" t="s">
        <v>33</v>
      </c>
      <c r="E1" t="s">
        <v>34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</row>
    <row r="2" spans="1:11" x14ac:dyDescent="0.25">
      <c r="B2" t="s">
        <v>12</v>
      </c>
      <c r="C2">
        <v>10</v>
      </c>
      <c r="D2" t="s">
        <v>12</v>
      </c>
      <c r="E2" t="s">
        <v>26</v>
      </c>
      <c r="F2" t="s">
        <v>184</v>
      </c>
      <c r="G2" t="s">
        <v>185</v>
      </c>
      <c r="H2">
        <v>1</v>
      </c>
      <c r="I2">
        <v>99999</v>
      </c>
      <c r="J2">
        <v>92.4</v>
      </c>
      <c r="K2" t="s">
        <v>187</v>
      </c>
    </row>
    <row r="3" spans="1:11" x14ac:dyDescent="0.25">
      <c r="B3" t="s">
        <v>12</v>
      </c>
      <c r="C3">
        <v>40</v>
      </c>
      <c r="D3" t="s">
        <v>12</v>
      </c>
      <c r="E3" t="s">
        <v>25</v>
      </c>
      <c r="F3" t="s">
        <v>184</v>
      </c>
      <c r="G3" t="s">
        <v>185</v>
      </c>
      <c r="H3">
        <v>1</v>
      </c>
      <c r="I3">
        <v>99999</v>
      </c>
      <c r="J3">
        <v>6.5</v>
      </c>
      <c r="K3" t="s">
        <v>187</v>
      </c>
    </row>
    <row r="4" spans="1:11" x14ac:dyDescent="0.25">
      <c r="B4" t="s">
        <v>12</v>
      </c>
      <c r="C4">
        <v>40</v>
      </c>
      <c r="D4" t="s">
        <v>12</v>
      </c>
      <c r="E4" t="s">
        <v>47</v>
      </c>
      <c r="F4" t="s">
        <v>184</v>
      </c>
      <c r="G4" t="s">
        <v>185</v>
      </c>
      <c r="H4">
        <v>1</v>
      </c>
      <c r="I4">
        <v>99999</v>
      </c>
      <c r="J4">
        <v>1</v>
      </c>
      <c r="K4" t="s">
        <v>186</v>
      </c>
    </row>
    <row r="5" spans="1:11" x14ac:dyDescent="0.25">
      <c r="B5" t="s">
        <v>12</v>
      </c>
      <c r="C5">
        <v>40</v>
      </c>
      <c r="D5" t="s">
        <v>12</v>
      </c>
      <c r="E5" t="s">
        <v>46</v>
      </c>
      <c r="F5" t="s">
        <v>184</v>
      </c>
      <c r="G5" t="s">
        <v>185</v>
      </c>
      <c r="H5">
        <v>1</v>
      </c>
      <c r="I5">
        <v>99999</v>
      </c>
      <c r="J5">
        <v>1</v>
      </c>
      <c r="K5" t="s">
        <v>186</v>
      </c>
    </row>
    <row r="6" spans="1:11" x14ac:dyDescent="0.25">
      <c r="B6" t="s">
        <v>12</v>
      </c>
      <c r="C6">
        <v>40</v>
      </c>
      <c r="D6" t="s">
        <v>12</v>
      </c>
      <c r="E6" t="s">
        <v>49</v>
      </c>
      <c r="F6" t="s">
        <v>184</v>
      </c>
      <c r="G6" t="s">
        <v>185</v>
      </c>
      <c r="H6">
        <v>1</v>
      </c>
      <c r="I6">
        <v>99999</v>
      </c>
      <c r="J6">
        <v>44</v>
      </c>
      <c r="K6" t="s">
        <v>186</v>
      </c>
    </row>
    <row r="7" spans="1:11" x14ac:dyDescent="0.25">
      <c r="B7" t="s">
        <v>12</v>
      </c>
      <c r="C7">
        <v>40</v>
      </c>
      <c r="D7" t="s">
        <v>12</v>
      </c>
      <c r="E7" t="s">
        <v>48</v>
      </c>
      <c r="F7" t="s">
        <v>184</v>
      </c>
      <c r="G7" t="s">
        <v>185</v>
      </c>
      <c r="H7">
        <v>1</v>
      </c>
      <c r="I7">
        <v>99999</v>
      </c>
      <c r="J7">
        <v>1</v>
      </c>
      <c r="K7" t="s">
        <v>186</v>
      </c>
    </row>
    <row r="8" spans="1:11" x14ac:dyDescent="0.25">
      <c r="B8" t="s">
        <v>12</v>
      </c>
      <c r="C8">
        <v>20</v>
      </c>
      <c r="D8" t="s">
        <v>12</v>
      </c>
      <c r="E8" t="s">
        <v>27</v>
      </c>
      <c r="F8" t="s">
        <v>184</v>
      </c>
      <c r="G8" t="s">
        <v>185</v>
      </c>
      <c r="H8">
        <v>1</v>
      </c>
      <c r="I8">
        <v>99999</v>
      </c>
      <c r="J8">
        <v>1</v>
      </c>
      <c r="K8" t="s">
        <v>186</v>
      </c>
    </row>
    <row r="9" spans="1:11" x14ac:dyDescent="0.25">
      <c r="B9" t="s">
        <v>12</v>
      </c>
      <c r="C9">
        <v>20</v>
      </c>
      <c r="D9" t="s">
        <v>12</v>
      </c>
      <c r="E9" t="s">
        <v>28</v>
      </c>
      <c r="F9" t="s">
        <v>184</v>
      </c>
      <c r="G9" t="s">
        <v>185</v>
      </c>
      <c r="H9">
        <v>1</v>
      </c>
      <c r="I9">
        <v>99999</v>
      </c>
      <c r="J9">
        <v>5</v>
      </c>
      <c r="K9" t="s">
        <v>186</v>
      </c>
    </row>
    <row r="10" spans="1:11" x14ac:dyDescent="0.25">
      <c r="B10" t="s">
        <v>12</v>
      </c>
      <c r="C10">
        <v>40</v>
      </c>
      <c r="D10" t="s">
        <v>12</v>
      </c>
      <c r="E10" t="s">
        <v>188</v>
      </c>
      <c r="F10" t="s">
        <v>184</v>
      </c>
      <c r="G10" t="s">
        <v>185</v>
      </c>
      <c r="H10">
        <v>1</v>
      </c>
      <c r="I10">
        <v>99999</v>
      </c>
      <c r="J10">
        <v>1</v>
      </c>
      <c r="K10" t="s">
        <v>186</v>
      </c>
    </row>
    <row r="11" spans="1:11" x14ac:dyDescent="0.25">
      <c r="B11" t="s">
        <v>12</v>
      </c>
      <c r="C11">
        <v>40</v>
      </c>
      <c r="D11" t="s">
        <v>12</v>
      </c>
      <c r="E11" t="s">
        <v>189</v>
      </c>
      <c r="F11" t="s">
        <v>184</v>
      </c>
      <c r="G11" t="s">
        <v>185</v>
      </c>
      <c r="H11">
        <v>1</v>
      </c>
      <c r="I11">
        <v>99999</v>
      </c>
      <c r="J11">
        <v>1</v>
      </c>
      <c r="K11" t="s">
        <v>186</v>
      </c>
    </row>
    <row r="12" spans="1:11" x14ac:dyDescent="0.25">
      <c r="B12" t="s">
        <v>12</v>
      </c>
      <c r="C12">
        <v>40</v>
      </c>
      <c r="D12" t="s">
        <v>12</v>
      </c>
      <c r="E12" t="s">
        <v>81</v>
      </c>
      <c r="F12" t="s">
        <v>184</v>
      </c>
      <c r="G12" t="s">
        <v>185</v>
      </c>
      <c r="H12">
        <v>1</v>
      </c>
      <c r="I12">
        <v>99999</v>
      </c>
      <c r="J12">
        <v>10</v>
      </c>
      <c r="K12" t="s">
        <v>186</v>
      </c>
    </row>
    <row r="13" spans="1:11" x14ac:dyDescent="0.25">
      <c r="B13" t="s">
        <v>12</v>
      </c>
      <c r="C13">
        <v>40</v>
      </c>
      <c r="D13" t="s">
        <v>12</v>
      </c>
      <c r="E13" t="s">
        <v>14</v>
      </c>
      <c r="F13" t="s">
        <v>184</v>
      </c>
      <c r="G13" t="s">
        <v>185</v>
      </c>
      <c r="H13">
        <v>1</v>
      </c>
      <c r="I13">
        <v>99999</v>
      </c>
      <c r="J13">
        <v>1</v>
      </c>
      <c r="K13" t="s">
        <v>186</v>
      </c>
    </row>
    <row r="14" spans="1:11" x14ac:dyDescent="0.25">
      <c r="B14" t="s">
        <v>12</v>
      </c>
      <c r="C14">
        <v>40</v>
      </c>
      <c r="D14" t="s">
        <v>12</v>
      </c>
      <c r="E14" t="s">
        <v>15</v>
      </c>
      <c r="F14" t="s">
        <v>184</v>
      </c>
      <c r="G14" t="s">
        <v>185</v>
      </c>
      <c r="H14">
        <v>1</v>
      </c>
      <c r="I14">
        <v>99999</v>
      </c>
      <c r="J14">
        <v>1</v>
      </c>
      <c r="K14" t="s">
        <v>186</v>
      </c>
    </row>
    <row r="15" spans="1:11" x14ac:dyDescent="0.25">
      <c r="B15" t="s">
        <v>12</v>
      </c>
      <c r="C15">
        <v>40</v>
      </c>
      <c r="D15" t="s">
        <v>12</v>
      </c>
      <c r="E15" t="s">
        <v>17</v>
      </c>
      <c r="F15" t="s">
        <v>184</v>
      </c>
      <c r="G15" t="s">
        <v>185</v>
      </c>
      <c r="H15">
        <v>1</v>
      </c>
      <c r="I15">
        <v>99999</v>
      </c>
      <c r="J15">
        <v>1</v>
      </c>
      <c r="K15" t="s">
        <v>186</v>
      </c>
    </row>
    <row r="16" spans="1:11" x14ac:dyDescent="0.25">
      <c r="B16" t="s">
        <v>12</v>
      </c>
      <c r="C16">
        <v>40</v>
      </c>
      <c r="D16" t="s">
        <v>12</v>
      </c>
      <c r="E16" t="s">
        <v>18</v>
      </c>
      <c r="F16" t="s">
        <v>184</v>
      </c>
      <c r="G16" t="s">
        <v>185</v>
      </c>
      <c r="H16">
        <v>1</v>
      </c>
      <c r="I16">
        <v>99999</v>
      </c>
      <c r="J16">
        <v>1</v>
      </c>
      <c r="K16" t="s">
        <v>186</v>
      </c>
    </row>
    <row r="17" spans="2:11" x14ac:dyDescent="0.25">
      <c r="B17" t="s">
        <v>12</v>
      </c>
      <c r="C17">
        <v>40</v>
      </c>
      <c r="D17" t="s">
        <v>12</v>
      </c>
      <c r="E17" t="s">
        <v>21</v>
      </c>
      <c r="F17" t="s">
        <v>184</v>
      </c>
      <c r="G17" t="s">
        <v>185</v>
      </c>
      <c r="H17">
        <v>1</v>
      </c>
      <c r="I17">
        <v>99999</v>
      </c>
      <c r="J17">
        <v>1</v>
      </c>
      <c r="K17" t="s">
        <v>186</v>
      </c>
    </row>
    <row r="18" spans="2:11" x14ac:dyDescent="0.25">
      <c r="B18" t="s">
        <v>12</v>
      </c>
      <c r="C18">
        <v>40</v>
      </c>
      <c r="D18" t="s">
        <v>12</v>
      </c>
      <c r="E18" t="s">
        <v>190</v>
      </c>
      <c r="F18" t="s">
        <v>184</v>
      </c>
      <c r="G18" t="s">
        <v>185</v>
      </c>
      <c r="H18">
        <v>1</v>
      </c>
      <c r="I18">
        <v>99999</v>
      </c>
      <c r="J18">
        <v>1</v>
      </c>
      <c r="K18" t="s">
        <v>186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51776-8A58-4830-84F6-01E9D802C36F}">
  <sheetPr codeName="Sheet7"/>
  <dimension ref="A1:E6"/>
  <sheetViews>
    <sheetView workbookViewId="0">
      <selection sqref="A1:XFD1048576"/>
    </sheetView>
  </sheetViews>
  <sheetFormatPr defaultRowHeight="15" x14ac:dyDescent="0.25"/>
  <cols>
    <col min="1" max="1" width="8" bestFit="1" customWidth="1"/>
    <col min="2" max="2" width="20.7109375" bestFit="1" customWidth="1"/>
    <col min="3" max="3" width="11.85546875" bestFit="1" customWidth="1"/>
    <col min="4" max="4" width="23.5703125" bestFit="1" customWidth="1"/>
    <col min="5" max="5" width="4.42578125" bestFit="1" customWidth="1"/>
  </cols>
  <sheetData>
    <row r="1" spans="1:5" x14ac:dyDescent="0.25">
      <c r="A1" t="s">
        <v>32</v>
      </c>
      <c r="B1" t="s">
        <v>33</v>
      </c>
      <c r="C1" t="s">
        <v>34</v>
      </c>
      <c r="D1" t="s">
        <v>35</v>
      </c>
      <c r="E1" t="s">
        <v>36</v>
      </c>
    </row>
    <row r="2" spans="1:5" x14ac:dyDescent="0.25">
      <c r="A2">
        <v>40</v>
      </c>
      <c r="B2" t="s">
        <v>12</v>
      </c>
      <c r="C2" t="s">
        <v>46</v>
      </c>
      <c r="D2" t="s">
        <v>78</v>
      </c>
      <c r="E2">
        <v>1</v>
      </c>
    </row>
    <row r="3" spans="1:5" x14ac:dyDescent="0.25">
      <c r="A3">
        <v>40</v>
      </c>
      <c r="B3" t="s">
        <v>12</v>
      </c>
      <c r="C3" t="s">
        <v>188</v>
      </c>
      <c r="D3" t="s">
        <v>75</v>
      </c>
      <c r="E3">
        <v>1</v>
      </c>
    </row>
    <row r="4" spans="1:5" x14ac:dyDescent="0.25">
      <c r="A4">
        <v>40</v>
      </c>
      <c r="B4" t="s">
        <v>12</v>
      </c>
      <c r="C4" t="s">
        <v>14</v>
      </c>
      <c r="D4" t="s">
        <v>76</v>
      </c>
      <c r="E4">
        <v>1</v>
      </c>
    </row>
    <row r="5" spans="1:5" x14ac:dyDescent="0.25">
      <c r="A5">
        <v>40</v>
      </c>
      <c r="B5" t="s">
        <v>12</v>
      </c>
      <c r="C5" t="s">
        <v>17</v>
      </c>
      <c r="D5" t="s">
        <v>77</v>
      </c>
      <c r="E5">
        <v>1</v>
      </c>
    </row>
    <row r="6" spans="1:5" x14ac:dyDescent="0.25">
      <c r="A6">
        <v>40</v>
      </c>
      <c r="B6" t="s">
        <v>12</v>
      </c>
      <c r="C6" t="s">
        <v>21</v>
      </c>
      <c r="D6" t="s">
        <v>180</v>
      </c>
      <c r="E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INPUT</vt:lpstr>
      <vt:lpstr>Error Log</vt:lpstr>
      <vt:lpstr>Library</vt:lpstr>
      <vt:lpstr>P2P</vt:lpstr>
      <vt:lpstr>Laser Cutting List</vt:lpstr>
      <vt:lpstr>IDL</vt:lpstr>
      <vt:lpstr>BOM</vt:lpstr>
      <vt:lpstr>TGPS BOM</vt:lpstr>
      <vt:lpstr>TGPS STEP</vt:lpstr>
      <vt:lpstr>TGPS REFDES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cp:lastPrinted>2023-07-23T18:05:58Z</cp:lastPrinted>
  <dcterms:created xsi:type="dcterms:W3CDTF">2015-06-05T18:17:20Z</dcterms:created>
  <dcterms:modified xsi:type="dcterms:W3CDTF">2023-07-23T19:51:06Z</dcterms:modified>
</cp:coreProperties>
</file>